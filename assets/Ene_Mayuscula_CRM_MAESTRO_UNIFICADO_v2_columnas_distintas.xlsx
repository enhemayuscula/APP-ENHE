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FIG" sheetId="1" r:id="rId5"/>
    <sheet state="visible" name="PLANTILLAS_DOSSIER" sheetId="2" r:id="rId6"/>
    <sheet state="visible" name="CRM_GENERAL" sheetId="3" r:id="rId7"/>
    <sheet state="visible" name="RESPUESTAS_GMAIL" sheetId="4" r:id="rId8"/>
    <sheet state="visible" name="CONTROL" sheetId="5" r:id="rId9"/>
    <sheet state="visible" name="DASHBOARD" sheetId="6" r:id="rId10"/>
    <sheet state="visible" name="INSTRUCCIONES" sheetId="7" r:id="rId11"/>
  </sheets>
  <definedNames>
    <definedName hidden="1" localSheetId="2" name="_xlnm._FilterDatabase">CRM_GENERAL!$A$1:$AG$145</definedName>
    <definedName hidden="1" localSheetId="2" name="Z_E2682732_3BB0_4B81_A63A_DE2E1A1533DD_.wvu.FilterData">CRM_GENERAL!$A$1:$AG$145</definedName>
    <definedName hidden="1" localSheetId="2" name="Z_481CD36E_1420_479E_97B6_4BEDA9551DA0_.wvu.FilterData">CRM_GENERAL!$A$1:$AG$145</definedName>
    <definedName hidden="1" localSheetId="2" name="Z_AECD55FF_6EB3_4242_81C0_B27A798F75EE_.wvu.FilterData">CRM_GENERAL!$A$1:$AG$145</definedName>
    <definedName hidden="1" localSheetId="2" name="Z_557F9E73_6C92_4457_8E5F_FDA94A4363FC_.wvu.FilterData">CRM_GENERAL!$A$1:$AG$145</definedName>
  </definedNames>
  <calcPr/>
  <customWorkbookViews>
    <customWorkbookView activeSheetId="0" maximized="1" windowHeight="0" windowWidth="0" guid="{481CD36E-1420-479E-97B6-4BEDA9551DA0}" name="Pendientes de respuesta"/>
    <customWorkbookView activeSheetId="0" maximized="1" windowHeight="0" windowWidth="0" guid="{AECD55FF-6EB3-4242-81C0-B27A798F75EE}" name="Interes alto"/>
    <customWorkbookView activeSheetId="0" maximized="1" windowHeight="0" windowWidth="0" guid="{557F9E73-6C92-4457-8E5F-FDA94A4363FC}" name="Respuestas recibidas"/>
    <customWorkbookView activeSheetId="0" maximized="1" windowHeight="0" windowWidth="0" guid="{E2682732-3BB0-4B81-A63A-DE2E1A1533DD}" name="Proximas acciones"/>
  </customWorkbookViews>
</workbook>
</file>

<file path=xl/sharedStrings.xml><?xml version="1.0" encoding="utf-8"?>
<sst xmlns="http://schemas.openxmlformats.org/spreadsheetml/2006/main" count="2577" uniqueCount="1158">
  <si>
    <t>EÑE MAYÚSCULA — CRM MAESTRO UNIFICADO v2</t>
  </si>
  <si>
    <t>URL Google Sheet SALAS</t>
  </si>
  <si>
    <t>https://docs.google.com/spreadsheets/d/1fmddRf1KuDXD0XFWUpql3JFZHh0tJ1Dd8LnlrhGG1Ps/edit?gid=415989545#gid=415989545</t>
  </si>
  <si>
    <t>URL Google Sheet EVENTOS/BODAS/FIESTAS</t>
  </si>
  <si>
    <t>https://docs.google.com/spreadsheets/d/1bku9oh9jP3MUz1FNbizlKDZBeqJrF1ZHtKT-TjEqAB8/edit?gid=511874214#gid=511874214</t>
  </si>
  <si>
    <t>Hoja origen SALAS</t>
  </si>
  <si>
    <t>Contactos</t>
  </si>
  <si>
    <t>Hoja origen EVENTOS</t>
  </si>
  <si>
    <t>Última importación</t>
  </si>
  <si>
    <t>Resultado</t>
  </si>
  <si>
    <t>Importación completada. Salas: 77 | Eventos/Bodas/Festejos: 67 | Total maestro: 144. Las columnas de seguimiento ya están unificadas.</t>
  </si>
  <si>
    <t>Notas</t>
  </si>
  <si>
    <t>Esta versión admite hojas con columnas distintas. No envía emails.</t>
  </si>
  <si>
    <t>Enlace dossier comercial</t>
  </si>
  <si>
    <t>https://drive.google.com/file/d/1K_fK7SkOFG0DQ6bx9y9x-rGZantFb-C6/view?usp=drive_link</t>
  </si>
  <si>
    <t>Tipo</t>
  </si>
  <si>
    <t>Cuándo usarla</t>
  </si>
  <si>
    <t>Texto base</t>
  </si>
  <si>
    <t>Información general</t>
  </si>
  <si>
    <t>Cuando pidan más información sobre el grupo</t>
  </si>
  <si>
    <t>Hola {{Nombre}}, muchas gracias por tu respuesta. Te dejamos el dossier comercial de Ñ Mayúscula con la propuesta, repertorio, formato y datos de contacto: {{Dossier}}. Quedamos atentos por si necesitáis cualquier información adicional.</t>
  </si>
  <si>
    <t>Precios / condiciones</t>
  </si>
  <si>
    <t>Cuando pidan tarifas, caché o condiciones</t>
  </si>
  <si>
    <t>Hola {{Nombre}}, muchas gracias por tu respuesta. Te compartimos el dossier comercial, donde aparecen la propuesta, repertorio, tarifas orientativas 2026 y condiciones generales: {{Dossier}}. El presupuesto final puede ajustarse según fecha, ubicación, duración, formato y necesidades técnicas.</t>
  </si>
  <si>
    <t>Bodas / eventos privados</t>
  </si>
  <si>
    <t>Cuando sea wedding planner, finca, evento privado o boda</t>
  </si>
  <si>
    <t>Hola {{Nombre}}, muchas gracias por tu respuesta. Te compartimos el dossier comercial de Ñ Mayúscula: {{Dossier}}. Para preparar una propuesta concreta, nos ayudaría saber fecha, lugar, formato de actuación, horarios aproximados, si el espacio aporta sonido/iluminación y contacto operativo del evento.</t>
  </si>
  <si>
    <t>Fechas disponibles</t>
  </si>
  <si>
    <t>Cuando propongan fechas o pidan disponibilidad</t>
  </si>
  <si>
    <t>Hola {{Nombre}}, muchas gracias por la información. Revisamos disponibilidad internamente y te confirmamos cuanto antes. Te dejamos también el dossier comercial por si queréis tener a mano propuesta, repertorio, formato y condiciones orientativas: {{Dossier}}.</t>
  </si>
  <si>
    <t>ClaveCRM</t>
  </si>
  <si>
    <t>Campaña</t>
  </si>
  <si>
    <t>Origen</t>
  </si>
  <si>
    <t>Organización / Local</t>
  </si>
  <si>
    <t>Tipo oportunidad</t>
  </si>
  <si>
    <t>Segmento</t>
  </si>
  <si>
    <t>Municipio / Provincia</t>
  </si>
  <si>
    <t>Dirección</t>
  </si>
  <si>
    <t>Email</t>
  </si>
  <si>
    <t>Email CC</t>
  </si>
  <si>
    <t>Teléfono</t>
  </si>
  <si>
    <t>Web</t>
  </si>
  <si>
    <t>Fuente URL</t>
  </si>
  <si>
    <t>Prioridad</t>
  </si>
  <si>
    <t>Enviar</t>
  </si>
  <si>
    <t>Estado envío</t>
  </si>
  <si>
    <t>Fecha envío</t>
  </si>
  <si>
    <t>Error envío</t>
  </si>
  <si>
    <t>Asunto enviado</t>
  </si>
  <si>
    <t>Respuesta recibida</t>
  </si>
  <si>
    <t>Fecha respuesta</t>
  </si>
  <si>
    <t>Persona contacto</t>
  </si>
  <si>
    <t>Teléfono contacto</t>
  </si>
  <si>
    <t>Interés</t>
  </si>
  <si>
    <t>Disponibilidad / fechas</t>
  </si>
  <si>
    <t>Condiciones</t>
  </si>
  <si>
    <t>Caché / presupuesto</t>
  </si>
  <si>
    <t>Requisitos técnicos</t>
  </si>
  <si>
    <t>Próxima acción</t>
  </si>
  <si>
    <t>Fecha próxima acción</t>
  </si>
  <si>
    <t>Notas seguimiento</t>
  </si>
  <si>
    <t>Observaciones origen</t>
  </si>
  <si>
    <t>Último email recibido</t>
  </si>
  <si>
    <t>Email remitente respuesta</t>
  </si>
  <si>
    <t>Enviar dossier</t>
  </si>
  <si>
    <t>Dossier enviado</t>
  </si>
  <si>
    <t>Fecha envío dossier</t>
  </si>
  <si>
    <t>Tipo respuesta dossier</t>
  </si>
  <si>
    <t>Notas dossier</t>
  </si>
  <si>
    <t>Estado dossier</t>
  </si>
  <si>
    <t>Eventos/Bodas/Festejos|info@4foreverything.com</t>
  </si>
  <si>
    <t>Eventos/Bodas/Festejos</t>
  </si>
  <si>
    <t>Ene_Mayuscula_EVENTOS_BODAS_FIESTAS_DIRECTO_FINAL</t>
  </si>
  <si>
    <t>4foreverything</t>
  </si>
  <si>
    <t>Agencia de marketing experiencial / eventos</t>
  </si>
  <si>
    <t>Agencias / eventos</t>
  </si>
  <si>
    <t>Móstoles, Madrid</t>
  </si>
  <si>
    <t>info@4foreverything.com</t>
  </si>
  <si>
    <t>91 366 22 26</t>
  </si>
  <si>
    <t>https://www.4foreverything.com/contacto</t>
  </si>
  <si>
    <t>Alta</t>
  </si>
  <si>
    <t>SI</t>
  </si>
  <si>
    <t>Enviado</t>
  </si>
  <si>
    <t>Seguimiento si no responden</t>
  </si>
  <si>
    <t>Eventos/Bodas/Festejos|comercial@absolute-eventos.com</t>
  </si>
  <si>
    <t>Absolute Eventos</t>
  </si>
  <si>
    <t>Organización de eventos</t>
  </si>
  <si>
    <t>Madrid</t>
  </si>
  <si>
    <t>comercial@absolute-eventos.com</t>
  </si>
  <si>
    <t>https://www.absolute-eventos.com/contacto.html</t>
  </si>
  <si>
    <t>Eventos/Bodas/Festejos|hola@absolu.to</t>
  </si>
  <si>
    <t>Absoluto Experiential</t>
  </si>
  <si>
    <t>Agencia experiencial / producción de eventos</t>
  </si>
  <si>
    <t>hola@absolu.to</t>
  </si>
  <si>
    <t>https://www.absolu.to/contacto</t>
  </si>
  <si>
    <t>Eventos/Bodas/Festejos|ana cano eventos</t>
  </si>
  <si>
    <t>Ana Cano Eventos</t>
  </si>
  <si>
    <t>Wedding planner / eventos</t>
  </si>
  <si>
    <t>661 180 163</t>
  </si>
  <si>
    <t>https://weddingplannerpedia.es/es-es/i/29-ana-cano-eventos-wedding-planner-madrid-organizador-de-bodas-y-eventos-event-planner/</t>
  </si>
  <si>
    <t>Media</t>
  </si>
  <si>
    <t>NO</t>
  </si>
  <si>
    <t>Sin email / revisar</t>
  </si>
  <si>
    <t>Eventos/Bodas/Festejos|ayuntamiento de alcala de henares - fiestas</t>
  </si>
  <si>
    <t>Ayuntamiento de Alcalá de Henares - Fiestas</t>
  </si>
  <si>
    <t>Festejos / cultura</t>
  </si>
  <si>
    <t>Fiestas populares / ayuntamientos</t>
  </si>
  <si>
    <t>Alcalá de Henares, Madrid</t>
  </si>
  <si>
    <t>https://www.ayto-alcaladehenares.es/</t>
  </si>
  <si>
    <t>Eventos/Bodas/Festejos|ayuntamiento de alcorcon - fiestas</t>
  </si>
  <si>
    <t>Ayuntamiento de Alcorcón - Fiestas</t>
  </si>
  <si>
    <t>Festejos / Cultura</t>
  </si>
  <si>
    <t>Alcorcón, Madrid</t>
  </si>
  <si>
    <t>https://www.ayto-alcorcon.es/</t>
  </si>
  <si>
    <t>Eventos/Bodas/Festejos|contacto@ambite.es</t>
  </si>
  <si>
    <t>Ayuntamiento de Ambite</t>
  </si>
  <si>
    <t>Ayuntamiento / Cultura y Festejos</t>
  </si>
  <si>
    <t>Ambite, Madrid</t>
  </si>
  <si>
    <t>contacto@ambite.es</t>
  </si>
  <si>
    <t>91 872 21 51</t>
  </si>
  <si>
    <t>https://www.ambite.es/actualidad/prograa-de-fiestas-patronales-2026</t>
  </si>
  <si>
    <t>Eventos/Bodas/Festejos|a.cultura@aytoboadilla.com</t>
  </si>
  <si>
    <t>Ayuntamiento de Boadilla del Monte - Cultura</t>
  </si>
  <si>
    <t>Cultura / programación municipal</t>
  </si>
  <si>
    <t>Boadilla del Monte, Madrid</t>
  </si>
  <si>
    <t>a.cultura@aytoboadilla.com</t>
  </si>
  <si>
    <t>https://www.ayuntamientoboadilladelmonte.org/ayuntamiento/composicion-y-organizacion-municipal/directorio-municipal</t>
  </si>
  <si>
    <t>Eventos/Bodas/Festejos|servicios@aytoboadilla.com</t>
  </si>
  <si>
    <t>Ayuntamiento de Boadilla del Monte - Festejos / servicios</t>
  </si>
  <si>
    <t>Festejos / eventos municipales</t>
  </si>
  <si>
    <t>servicios@aytoboadilla.com</t>
  </si>
  <si>
    <t>https://www.ayuntamientoboadilladelmonte.org/boadilla-actualidad/convocatorias/servicio-de-medio-ambiente-festejos-y-deportes</t>
  </si>
  <si>
    <t>Eventos/Bodas/Festejos|ayuntamiento de ciempozuelos - festejos</t>
  </si>
  <si>
    <t>Ayuntamiento de Ciempozuelos - Festejos</t>
  </si>
  <si>
    <t>Concejalía de Festejos</t>
  </si>
  <si>
    <t>Ciempozuelos, Madrid</t>
  </si>
  <si>
    <t>https://cadenaser.com/cmadrid/2025/09/12/ciempozuelos-confirma-que-tendra-actuacion-de-la-orquesta-panorama-en-2026-ser-madrid-sur/</t>
  </si>
  <si>
    <t>Eventos/Bodas/Festejos|cultura@ayto-colladovillalba.org</t>
  </si>
  <si>
    <t>Ayuntamiento de Collado Villalba - Cultura</t>
  </si>
  <si>
    <t>Collado Villalba, Madrid</t>
  </si>
  <si>
    <t>cultura@ayto-colladovillalba.org</t>
  </si>
  <si>
    <t>https://www.colladovillalba.es/es/concejalias/cultura/</t>
  </si>
  <si>
    <t>Eventos/Bodas/Festejos|festejos@ayto-colladovillalba.org</t>
  </si>
  <si>
    <t>Ayuntamiento de Collado Villalba - Festejos</t>
  </si>
  <si>
    <t>Festejos / fiestas patronales</t>
  </si>
  <si>
    <t>festejos@ayto-colladovillalba.org</t>
  </si>
  <si>
    <t>655 180 856</t>
  </si>
  <si>
    <t>https://www.colladovillalba.es/es/concejalias/festejos/</t>
  </si>
  <si>
    <t>Eventos/Bodas/Festejos|festejos@colmenarviejo.com</t>
  </si>
  <si>
    <t>Ayuntamiento de Colmenar Viejo - Festejos</t>
  </si>
  <si>
    <t>Colmenar Viejo, Madrid</t>
  </si>
  <si>
    <t>festejos@colmenarviejo.com</t>
  </si>
  <si>
    <t>https://elresurgirdemadrid.com/fiesta-de-la-maya-de-colmenar-viejo-2026/</t>
  </si>
  <si>
    <t>Eventos/Bodas/Festejos|cultura@ayto-fuenlabrada.es</t>
  </si>
  <si>
    <t>Ayuntamiento de Fuenlabrada - Cultura</t>
  </si>
  <si>
    <t>Patronato de Cultura</t>
  </si>
  <si>
    <t>Fuenlabrada, Madrid</t>
  </si>
  <si>
    <t>cultura@ayto-fuenlabrada.es</t>
  </si>
  <si>
    <t>91 492 11 20</t>
  </si>
  <si>
    <t>https://www.ayto-fuenlabrada.es/concejalias-cultura</t>
  </si>
  <si>
    <t>Eventos/Bodas/Festejos|festejos@galapagar.es</t>
  </si>
  <si>
    <t>Ayuntamiento de Galapagar - Festejos</t>
  </si>
  <si>
    <t>Galapagar, Madrid</t>
  </si>
  <si>
    <t>festejos@galapagar.es</t>
  </si>
  <si>
    <t>91 858 78 00 ext. 185</t>
  </si>
  <si>
    <t>https://galapagar.es/tramites/3-7-juventud-y-festejos/3-7-3-inscripcion-en-el-registro-de-penas-y-asociaciones/</t>
  </si>
  <si>
    <t>Muy alta</t>
  </si>
  <si>
    <t>Eventos/Bodas/Festejos|ayuntamiento de getafe - cultura/festejos</t>
  </si>
  <si>
    <t>Ayuntamiento de Getafe - Cultura/Festejos</t>
  </si>
  <si>
    <t>Cultura / Festejos</t>
  </si>
  <si>
    <t>Getafe, Madrid</t>
  </si>
  <si>
    <t>https://www.getafe.es/</t>
  </si>
  <si>
    <t>Eventos/Bodas/Festejos|cultura@aytoguadalajara.es</t>
  </si>
  <si>
    <t>Ayuntamiento de Guadalajara - Cultura/Festejos</t>
  </si>
  <si>
    <t>Provincia cercana / fiestas</t>
  </si>
  <si>
    <t>Guadalajara</t>
  </si>
  <si>
    <t>cultura@aytoguadalajara.es</t>
  </si>
  <si>
    <t>https://www.guadalajara.es/</t>
  </si>
  <si>
    <t>Eventos/Bodas/Festejos|jjcrespo@hoyodemanzanares.es</t>
  </si>
  <si>
    <t>Ayuntamiento de Hoyo de Manzanares - Festejos</t>
  </si>
  <si>
    <t>Festejos y Participación Ciudadana</t>
  </si>
  <si>
    <t>Hoyo de Manzanares, Madrid</t>
  </si>
  <si>
    <t>jjcrespo@hoyodemanzanares.es</t>
  </si>
  <si>
    <t>https://www.hoyodemanzanares.es/festejos-y-participacion-ciudadana/</t>
  </si>
  <si>
    <t>Eventos/Bodas/Festejos|festejos@ayto-humanesdemadrid.es</t>
  </si>
  <si>
    <t>Ayuntamiento de Humanes de Madrid - Festejos</t>
  </si>
  <si>
    <t>Humanes de Madrid</t>
  </si>
  <si>
    <t>festejos@ayto-humanesdemadrid.es</t>
  </si>
  <si>
    <t>91 604 03 00</t>
  </si>
  <si>
    <t>https://ayto-humanesdemadrid.es/abierto-el-plazo-para-participar-en-la-i-ruta-del-cucharon-saborea-humanes/</t>
  </si>
  <si>
    <t>Eventos/Bodas/Festejos|ayuntamiento de leganes - cultura/festejos</t>
  </si>
  <si>
    <t>Ayuntamiento de Leganés - Cultura/Festejos</t>
  </si>
  <si>
    <t>Leganés, Madrid</t>
  </si>
  <si>
    <t>https://www.leganes.org/</t>
  </si>
  <si>
    <t>Eventos/Bodas/Festejos|ayuntamiento de madrid - san isidro / fiestas</t>
  </si>
  <si>
    <t>Ayuntamiento de Madrid - San Isidro / fiestas</t>
  </si>
  <si>
    <t>Programación oficial de fiestas</t>
  </si>
  <si>
    <t>Madrid capital / distritos</t>
  </si>
  <si>
    <t>Madrid capital</t>
  </si>
  <si>
    <t>https://www.esmadrid.com/agenda/sanisidro-madrid</t>
  </si>
  <si>
    <t>Eventos/Bodas/Festejos|cultura@mejoradadelcampo.org</t>
  </si>
  <si>
    <t>Ayuntamiento de Mejorada del Campo - Cultura</t>
  </si>
  <si>
    <t>Concejalía de Educación y Cultura</t>
  </si>
  <si>
    <t>Mejorada del Campo, Madrid</t>
  </si>
  <si>
    <t>cultura@mejoradadelcampo.org</t>
  </si>
  <si>
    <t>916 790 180</t>
  </si>
  <si>
    <t>https://www.mejoradadelcampo.es/concejal%C3%ADa-de-educaci%C3%B3n-y-cultura/-/asset_publisher/qHhhQF6bqBkk/content/id/120820</t>
  </si>
  <si>
    <t>Eventos/Bodas/Festejos|ayuntamiento de mostoles - cultura/festejos</t>
  </si>
  <si>
    <t>Ayuntamiento de Móstoles - Cultura/Festejos</t>
  </si>
  <si>
    <t>https://www.mostoles.es/es</t>
  </si>
  <si>
    <t>Eventos/Bodas/Festejos|am.rodriguez@paracuellosdejarama.es</t>
  </si>
  <si>
    <t>Ayuntamiento de Paracuellos de Jarama - Festejos</t>
  </si>
  <si>
    <t>Festejos</t>
  </si>
  <si>
    <t>Paracuellos de Jarama, Madrid</t>
  </si>
  <si>
    <t>am.rodriguez@paracuellosdejarama.es</t>
  </si>
  <si>
    <t>91 658 00 01 ext. 04450</t>
  </si>
  <si>
    <t>https://paracuellosdejarama.es/sites/default/files/repositorio-archivos/carta_de_servicios___festejos.pdf</t>
  </si>
  <si>
    <t>Eventos/Bodas/Festejos|info@ayto-peralestajuna.org</t>
  </si>
  <si>
    <t>Ayuntamiento de Perales de Tajuña</t>
  </si>
  <si>
    <t>Ayuntamiento / fiestas patronales</t>
  </si>
  <si>
    <t>Perales de Tajuña, Madrid</t>
  </si>
  <si>
    <t>info@ayto-peralestajuna.org</t>
  </si>
  <si>
    <t>91 874 80 04</t>
  </si>
  <si>
    <t>https://www.ayto-peralestajuna.org/actualidad/programa-de-fiestas-patronales-2025</t>
  </si>
  <si>
    <t>Eventos/Bodas/Festejos|ayuntamiento@ayto-pozuelodelrey.es</t>
  </si>
  <si>
    <t>Ayuntamiento de Pozuelo del Rey</t>
  </si>
  <si>
    <t>Pozuelo del Rey, Madrid</t>
  </si>
  <si>
    <t>ayuntamiento@ayto-pozuelodelrey.es</t>
  </si>
  <si>
    <t>91 873 53 03</t>
  </si>
  <si>
    <t>https://www.pozuelodelrey.es/actualidad/fiestas-patronales-2025</t>
  </si>
  <si>
    <t>Eventos/Bodas/Festejos|pilar.ravelog@aytosag.es</t>
  </si>
  <si>
    <t>Ayuntamiento de San Agustín de Guadalix - Casa de Cultura</t>
  </si>
  <si>
    <t>Casa de Cultura / programación</t>
  </si>
  <si>
    <t>San Agustín de Guadalix, Madrid</t>
  </si>
  <si>
    <t>pilar.ravelog@aytosag.es</t>
  </si>
  <si>
    <t>https://www.comunidad.madrid/sites/default/files/doc/cultura/red_de_teatros_directorio_salas_2026.pdf</t>
  </si>
  <si>
    <t>Eventos/Bodas/Festejos|pgarcia@ayto-smv.es</t>
  </si>
  <si>
    <t>Ayuntamiento de San Martín de la Vega - Centro Cívico Cultural</t>
  </si>
  <si>
    <t>Centro cultural / programación</t>
  </si>
  <si>
    <t>San Martín de la Vega, Madrid</t>
  </si>
  <si>
    <t>pgarcia@ayto-smv.es</t>
  </si>
  <si>
    <t>Eventos/Bodas/Festejos|ayuntamiento de san sebastian de los reyes - cultura/festejos</t>
  </si>
  <si>
    <t>Ayuntamiento de San Sebastián de los Reyes - Cultura/Festejos</t>
  </si>
  <si>
    <t>San Sebastián de los Reyes, Madrid</t>
  </si>
  <si>
    <t>https://www.ssreyes.org/</t>
  </si>
  <si>
    <t>Eventos/Bodas/Festejos|sabinapinto@ayto-serranillosdelvalle.com</t>
  </si>
  <si>
    <t>Ayuntamiento de Serranillos del Valle - Teatro Municipal</t>
  </si>
  <si>
    <t>Teatro municipal / programación</t>
  </si>
  <si>
    <t>Serranillos del Valle, Madrid</t>
  </si>
  <si>
    <t>sabinapinto@ayto-serranillosdelvalle.com</t>
  </si>
  <si>
    <t>Eventos/Bodas/Festejos|ayuntamiento de toledo - festejos</t>
  </si>
  <si>
    <t>Ayuntamiento de Toledo - Festejos</t>
  </si>
  <si>
    <t>Toledo</t>
  </si>
  <si>
    <t>https://www.toledo.es/</t>
  </si>
  <si>
    <t>Eventos/Bodas/Festejos|festejos@ayto-torrejon.es</t>
  </si>
  <si>
    <t>Ayuntamiento de Torrejón de Ardoz - Festejos</t>
  </si>
  <si>
    <t>Torrejón de Ardoz, Madrid</t>
  </si>
  <si>
    <t>festejos@ayto-torrejon.es</t>
  </si>
  <si>
    <t>https://www.ayto-torrejon.es/sites/default/files/Carta%20de%20Servicios%20Festejos%20dic25.pdf</t>
  </si>
  <si>
    <t>Eventos/Bodas/Festejos|ayuntamiento de valdemoro - fiestas</t>
  </si>
  <si>
    <t>Ayuntamiento de Valdemoro - Fiestas</t>
  </si>
  <si>
    <t>Concejalía de Cultura/Festejos</t>
  </si>
  <si>
    <t>Valdemoro, Madrid</t>
  </si>
  <si>
    <t>https://cadenaser.com/cmadrid/2026/04/28/siempre-asi-seguridad-social-y-modestia-aparte-actuaran-en-las-fiestas-de-valdemoro-ser-madrid-sur/</t>
  </si>
  <si>
    <t>Eventos/Bodas/Festejos|festejos@vvapardillo.org</t>
  </si>
  <si>
    <t>Ayuntamiento de Villanueva del Pardillo - Festejos</t>
  </si>
  <si>
    <t>Villanueva del Pardillo, Madrid</t>
  </si>
  <si>
    <t>festejos@vvapardillo.org</t>
  </si>
  <si>
    <t>91 815 00 01</t>
  </si>
  <si>
    <t>https://www.vvapardillo.org/images/stories/festejos/2024/LIBRO_FIESTAS_SAN_LUCAS_2024.pdf</t>
  </si>
  <si>
    <t>Eventos/Bodas/Festejos|info@beonww.com</t>
  </si>
  <si>
    <t>beon. Worldwide</t>
  </si>
  <si>
    <t>Empresa internacional de eventos</t>
  </si>
  <si>
    <t>info@beonww.com</t>
  </si>
  <si>
    <t>915 798 230</t>
  </si>
  <si>
    <t>https://beonworldwide.com/</t>
  </si>
  <si>
    <t>Eventos/Bodas/Festejos|celebrents madrid</t>
  </si>
  <si>
    <t>Celebrents Madrid</t>
  </si>
  <si>
    <t>Plataforma proveedores bodas y eventos</t>
  </si>
  <si>
    <t>Booking / artistas</t>
  </si>
  <si>
    <t>https://www.celebrents.es/madrid/orquestas-cantantes-y-grupos/</t>
  </si>
  <si>
    <t>Eventos/Bodas/Festejos|contratarartistas.com</t>
  </si>
  <si>
    <t>ContratarArtistas.com</t>
  </si>
  <si>
    <t>Plataforma de artistas y proveedores</t>
  </si>
  <si>
    <t>https://contratarartistas.com/ciudad/madrid-_1</t>
  </si>
  <si>
    <t>Eventos/Bodas/Festejos|info@dilequesi.es</t>
  </si>
  <si>
    <t>Dile que Sí</t>
  </si>
  <si>
    <t>Event &amp; wedding planner</t>
  </si>
  <si>
    <t>info@dilequesi.es</t>
  </si>
  <si>
    <t>https://www.facebook.com/dilequesiweddingplanner/?locale=es_ES</t>
  </si>
  <si>
    <t>Eventos/Bodas/Festejos|cultutetuan@madrid.es</t>
  </si>
  <si>
    <t>Distrito Tetuán - Cultura</t>
  </si>
  <si>
    <t>Unidad de servicios culturales y ocio comunitario</t>
  </si>
  <si>
    <t>Madrid - Tetuán</t>
  </si>
  <si>
    <t>cultutetuan@madrid.es</t>
  </si>
  <si>
    <t>913 821 804</t>
  </si>
  <si>
    <t>https://www.madrid.es/portales/munimadrid/es/Inicio/El-Ayuntamiento/Tetuan/Programacion-cultural-de-Tetuan/Actividades-en-el-Centro-Sociocultural-Tetuan/Telefonos-horarios-e-informacion-de-interes-Junta-de-Distrito-Tetuan/?vgnextchannel=65d3454ea1441910VgnVCM1000001d4a900aRCRD&amp;vgnextfmt=default&amp;vgnextoid=c33c3c89a18d5910VgnVCM1000001d4a900aRCRD</t>
  </si>
  <si>
    <t>Sí</t>
  </si>
  <si>
    <t>JMD Tetuán - Unidad de Servicios Culturales y Ocio Comunitario</t>
  </si>
  <si>
    <t>Pendiente de valorar</t>
  </si>
  <si>
    <t>Revisar respuesta</t>
  </si>
  <si>
    <t>[05/05/2026 09:20] Respuesta de JMD Tetuán - Unidad de Servicios Culturales y Ocio Comunitario: Buenos días, gracias por compartirnos la propuesta.
Las actividades culturales que se programan en el Distrito de Tetuán, se realizan por contrato a través de la empresa que resulta adjudicataria del concurso-público publicado al efecto. En la actualidad, es JOSEP COMPTE URPI (infimarts@gmail.com). Por favor reenvíen su material a esa dirección para que les tengan en cuenta.
Un saludo.
DISTRITO</t>
  </si>
  <si>
    <t>Buenos días, gracias por compartirnos la propuesta.
Las actividades culturales que se programan en el Distrito de Tetuán, se realizan por contrato a través de la empresa que resulta adjudicataria del concurso-público publicado al efecto. En la actualidad, es JOSEP COMPTE URPI (infimarts@gmail.com). Por favor reenvíen su material a esa dirección para que les tengan en cuenta.
Un saludo.
DISTRITO</t>
  </si>
  <si>
    <t>Borrador de dossier creado automáticamente. Revisar Gmail &gt; Borradores antes de enviar.</t>
  </si>
  <si>
    <t>Borrador creado</t>
  </si>
  <si>
    <t>Eventos/Bodas/Festejos|info@doctormorgan.es</t>
  </si>
  <si>
    <t>Doctor Morgan Producciones</t>
  </si>
  <si>
    <t>Contratación de artistas para ayuntamientos y empresas</t>
  </si>
  <si>
    <t>info@doctormorgan.es</t>
  </si>
  <si>
    <t>91 438 65 44</t>
  </si>
  <si>
    <t>https://www.doctormorgan.es/</t>
  </si>
  <si>
    <t>Eventos/Bodas/Festejos|hola@eligetushow.es</t>
  </si>
  <si>
    <t>Elige Tu Show</t>
  </si>
  <si>
    <t>Promotora / plataforma de artistas</t>
  </si>
  <si>
    <t>España</t>
  </si>
  <si>
    <t>hola@eligetushow.es</t>
  </si>
  <si>
    <t>https://eligetushow.es/</t>
  </si>
  <si>
    <t>Eventos/Bodas/Festejos|elite@elitebodas.com</t>
  </si>
  <si>
    <t>Elite Bodas</t>
  </si>
  <si>
    <t>Wedding &amp; event planner</t>
  </si>
  <si>
    <t>Madrid / Toledo</t>
  </si>
  <si>
    <t>elite@elitebodas.com</t>
  </si>
  <si>
    <t>650 079 074</t>
  </si>
  <si>
    <t>https://www.instagram.com/elitebodas/</t>
  </si>
  <si>
    <t>Eventos/Bodas/Festejos|contacto@eventbase.es</t>
  </si>
  <si>
    <t>Eventbase</t>
  </si>
  <si>
    <t>Música y DJs para eventos</t>
  </si>
  <si>
    <t>contacto@eventbase.es</t>
  </si>
  <si>
    <t>608 701 873</t>
  </si>
  <si>
    <t>https://www.provenexpert.com/es-es/event-base-djs-para-bodas-y-eventos-madrid/</t>
  </si>
  <si>
    <t>Eventos/Bodas/Festejos|info@eventisimo.com</t>
  </si>
  <si>
    <t>Eventisimo / beon. Worldwide</t>
  </si>
  <si>
    <t>Agencia de eventos / comunicación</t>
  </si>
  <si>
    <t>info@eventisimo.com</t>
  </si>
  <si>
    <t>915 91 78 30</t>
  </si>
  <si>
    <t>https://www.mice.es/3026-eventisimo</t>
  </si>
  <si>
    <t>Eventos/Bodas/Festejos|eventos@factoria86.com</t>
  </si>
  <si>
    <t>Factoría 86</t>
  </si>
  <si>
    <t>Espacio / eventos</t>
  </si>
  <si>
    <t>eventos@factoria86.com</t>
  </si>
  <si>
    <t>910 81 34 16</t>
  </si>
  <si>
    <t>https://factoria86.com/contacto/</t>
  </si>
  <si>
    <t>Eventos/Bodas/Festejos|info@feriasyfiestasdemadrid.com</t>
  </si>
  <si>
    <t>Ferias y Fiestas de Madrid</t>
  </si>
  <si>
    <t>Agenda / difusión fiestas patronales</t>
  </si>
  <si>
    <t>Comunidad de Madrid</t>
  </si>
  <si>
    <t>info@feriasyfiestasdemadrid.com</t>
  </si>
  <si>
    <t>https://feriasyfiestasdemadrid.com/contacto/</t>
  </si>
  <si>
    <t>Eventos/Bodas/Festejos|administracion@fundacionculturalasrozas.org</t>
  </si>
  <si>
    <t>Fundación Cultural Las Rozas</t>
  </si>
  <si>
    <t>Programación cultural / eventos</t>
  </si>
  <si>
    <t>Las Rozas de Madrid, Madrid</t>
  </si>
  <si>
    <t>administracion@fundacionculturalasrozas.org</t>
  </si>
  <si>
    <t>917 579 981</t>
  </si>
  <si>
    <t>https://www.fundacionculturalasrozas.org/contacto/</t>
  </si>
  <si>
    <t>Eventos/Bodas/Festejos|gigstarter madrid</t>
  </si>
  <si>
    <t>Gigstarter Madrid</t>
  </si>
  <si>
    <t>Plataforma de contratación de artistas</t>
  </si>
  <si>
    <t>https://www.gigstarter.es/provinces/madrid/contratar-artista</t>
  </si>
  <si>
    <t>Eventos/Bodas/Festejos|info@imaginatuboda.es</t>
  </si>
  <si>
    <t>Imagina Tu Boda</t>
  </si>
  <si>
    <t>Wedding planner</t>
  </si>
  <si>
    <t>info@imaginatuboda.es</t>
  </si>
  <si>
    <t>637 239 802</t>
  </si>
  <si>
    <t>https://weddingplannerimaginatuboda.es/contacto/</t>
  </si>
  <si>
    <t>Eventos/Bodas/Festejos|agency@madisonmk.com</t>
  </si>
  <si>
    <t>Madison MK</t>
  </si>
  <si>
    <t>Agencia BTL y eventos</t>
  </si>
  <si>
    <t>agency@madisonmk.com</t>
  </si>
  <si>
    <t>902 602 555</t>
  </si>
  <si>
    <t>https://www.aevea.es/anuario-2021/portfolio/madison-mk/</t>
  </si>
  <si>
    <t>Eventos/Bodas/Festejos|info@madisonstaff.com</t>
  </si>
  <si>
    <t>Madison Staff</t>
  </si>
  <si>
    <t>Personal y soluciones para eventos</t>
  </si>
  <si>
    <t>info@madisonstaff.com</t>
  </si>
  <si>
    <t>911 665 653</t>
  </si>
  <si>
    <t>https://madisonstaff.com/conocenos/</t>
  </si>
  <si>
    <t>Eventos/Bodas/Festejos|info@marchapasaevents.com</t>
  </si>
  <si>
    <t>Marcha Pasa Events</t>
  </si>
  <si>
    <t>Catering / eventos / partners</t>
  </si>
  <si>
    <t>info@marchapasaevents.com</t>
  </si>
  <si>
    <t>682 233 118</t>
  </si>
  <si>
    <t>https://marchapasaevents.com/alianzas-y-partners-de-confianza-en-madrid/</t>
  </si>
  <si>
    <t>"info@marchapasaevents.com" &lt;info@marchapasaevents.com&gt;</t>
  </si>
  <si>
    <t>[05/05/2026 09:24] Respuesta de info@marchapasaevents.com: Hola, equipo de Ñ Mayúscula,
He recibido vuestro correo y, si no os importa, voy a ser muy directo para no haceros perder el tiempo.
¿Trabajamos con bandas en directo?
No es un servicio que ofrezcamos directamente, pero sí es cierto que muchos de nuestros clientes (bodas, catering, eventos corporativos) acaban pidiéndonos recomendaciones de otros proveedores: música, fotografía, floristería, et</t>
  </si>
  <si>
    <t>Hola, equipo de Ñ Mayúscula,
He recibido vuestro correo y, si no os importa, voy a ser muy directo para no haceros perder el tiempo.
¿Trabajamos con bandas en directo?
No es un servicio que ofrezcamos directamente, pero sí es cierto que muchos de nuestros clientes (bodas, catering, eventos corporativos) acaban pidiéndonos recomendaciones de otros proveedores: música, fotografía, floristería, et</t>
  </si>
  <si>
    <t>Eventos/Bodas/Festejos|produccion@pargonscp.com</t>
  </si>
  <si>
    <t>PARGON SCP</t>
  </si>
  <si>
    <t>Producción / soluciones creativas y publicitarias</t>
  </si>
  <si>
    <t>produccion@pargonscp.com</t>
  </si>
  <si>
    <t>info@pargonscp.com</t>
  </si>
  <si>
    <t>https://pargonscp.com/</t>
  </si>
  <si>
    <t>Eventos/Bodas/Festejos|hola@peoniaseventos.com</t>
  </si>
  <si>
    <t>Peonías Eventos</t>
  </si>
  <si>
    <t>Wedding planner / event planner</t>
  </si>
  <si>
    <t>hola@peoniaseventos.com</t>
  </si>
  <si>
    <t>652 131 978</t>
  </si>
  <si>
    <t>https://www.peoniaseventos.com/contacto/</t>
  </si>
  <si>
    <t>Eventos/Bodas/Festejos|hola@sevenweddings.com</t>
  </si>
  <si>
    <t>Seven Weddings</t>
  </si>
  <si>
    <t>Wedding planner / diseño de bodas</t>
  </si>
  <si>
    <t>Madrid / España</t>
  </si>
  <si>
    <t>hola@sevenweddings.com</t>
  </si>
  <si>
    <t>644 68 64 42</t>
  </si>
  <si>
    <t>https://www.sevenweddings.com/language/en/contact/</t>
  </si>
  <si>
    <t>Eventos/Bodas/Festejos|hola@sissiweddings.es</t>
  </si>
  <si>
    <t>Sissí Weddings</t>
  </si>
  <si>
    <t>Madrid / Getafe</t>
  </si>
  <si>
    <t>hola@sissiweddings.es</t>
  </si>
  <si>
    <t>624 86 08 00</t>
  </si>
  <si>
    <t>https://www.facebook.com/sissiweddings.bodas/</t>
  </si>
  <si>
    <t>Eventos/Bodas/Festejos|hola@sweetideas.es</t>
  </si>
  <si>
    <t>Sweet Ideas</t>
  </si>
  <si>
    <t>Agencia de publicidad / eventos y montajes</t>
  </si>
  <si>
    <t>Alcorcón / Madrid</t>
  </si>
  <si>
    <t>hola@sweetideas.es</t>
  </si>
  <si>
    <t>916 448 060</t>
  </si>
  <si>
    <t>https://www.sweetideas.es/es/contacto-agencia-publicidad/</t>
  </si>
  <si>
    <t>Eventos/Bodas/Festejos|info@tdmeventos.com</t>
  </si>
  <si>
    <t>TDM Eventos Madrid</t>
  </si>
  <si>
    <t>Contratación de artistas para eventos</t>
  </si>
  <si>
    <t>info@tdmeventos.com</t>
  </si>
  <si>
    <t>916 486 148</t>
  </si>
  <si>
    <t>https://tdmeventosmadrid.com/servicios-de-contratacion-en-madrid/</t>
  </si>
  <si>
    <t>Eventos/Bodas/Festejos|teambride</t>
  </si>
  <si>
    <t>TeamBride</t>
  </si>
  <si>
    <t>Plataforma de bodas / proveedores</t>
  </si>
  <si>
    <t>https://teambride.es/</t>
  </si>
  <si>
    <t>Eventos/Bodas/Festejos|the big day</t>
  </si>
  <si>
    <t>The Big Day</t>
  </si>
  <si>
    <t>646 738 120 / 671 644 108</t>
  </si>
  <si>
    <t>https://www.thebigday.es/</t>
  </si>
  <si>
    <t>Eventos/Bodas/Festejos|hola@theplannerco.es</t>
  </si>
  <si>
    <t>The Planner Co.</t>
  </si>
  <si>
    <t>hola@theplannerco.es</t>
  </si>
  <si>
    <t>91 078 30 30</t>
  </si>
  <si>
    <t>https://theplannerco.es/</t>
  </si>
  <si>
    <t>Eventos/Bodas/Festejos|info@tudiaperfecto.es</t>
  </si>
  <si>
    <t>Tu Día Perfecto</t>
  </si>
  <si>
    <t>info@tudiaperfecto.es</t>
  </si>
  <si>
    <t>https://tudiaperfecto.es/</t>
  </si>
  <si>
    <t>Eventos/Bodas/Festejos|info@weddingplannerenmadrid.es</t>
  </si>
  <si>
    <t>Wedding Planner en Madrid</t>
  </si>
  <si>
    <t>info@weddingplannerenmadrid.es</t>
  </si>
  <si>
    <t>644 360 714</t>
  </si>
  <si>
    <t>https://www.weddingplannerenmadrid.es/contacto/</t>
  </si>
  <si>
    <t>Eventos/Bodas/Festejos|info@weddingplanner.madrid</t>
  </si>
  <si>
    <t>Wedding Planner Madrid</t>
  </si>
  <si>
    <t>Torrejón de la Calzada, Madrid</t>
  </si>
  <si>
    <t>info@weddingplanner.madrid</t>
  </si>
  <si>
    <t>642 21 43 41</t>
  </si>
  <si>
    <t>https://weddingplanner.madrid/contacto/</t>
  </si>
  <si>
    <t>Eventos/Bodas/Festejos|bodasquemolan@wedinlove.es</t>
  </si>
  <si>
    <t>WedinLove</t>
  </si>
  <si>
    <t>bodasquemolan@wedinlove.es</t>
  </si>
  <si>
    <t>https://mundolujo.es/madrid/organizadores-bodas-lujo/</t>
  </si>
  <si>
    <t>Eventos/Bodas/Festejos|info@whatevent.es</t>
  </si>
  <si>
    <t>What Event</t>
  </si>
  <si>
    <t>Agencia de eventos / personal / DJs</t>
  </si>
  <si>
    <t>info@whatevent.es</t>
  </si>
  <si>
    <t>https://whatevent.es/contacto/</t>
  </si>
  <si>
    <t>Eventos/Bodas/Festejos|info@whitelion.es</t>
  </si>
  <si>
    <t>WhiteLion Events</t>
  </si>
  <si>
    <t>Productora de eventos / fiestas patronales / bodas</t>
  </si>
  <si>
    <t>info@whitelion.es</t>
  </si>
  <si>
    <t>644 45 56 54</t>
  </si>
  <si>
    <t>https://whitelion.es/contacto/</t>
  </si>
  <si>
    <t>Salas|7rockbar@gmail.com</t>
  </si>
  <si>
    <t>Salas</t>
  </si>
  <si>
    <t>Ene_Mayuscula_ENVIO_FINAL_sin_lios_v2_fechas</t>
  </si>
  <si>
    <t>7 Rock Bar</t>
  </si>
  <si>
    <t>Salas / música en directo</t>
  </si>
  <si>
    <t>Sala/local música en directo</t>
  </si>
  <si>
    <t>Parla</t>
  </si>
  <si>
    <t>Calle Olvido 7, 28982 Parla</t>
  </si>
  <si>
    <t>7rockbar@gmail.com</t>
  </si>
  <si>
    <t>7rocbar@hotmail.com</t>
  </si>
  <si>
    <t>639 607 139</t>
  </si>
  <si>
    <t>https://7rockbar.es/contacto</t>
  </si>
  <si>
    <t>Buen encaje fuera de capital.</t>
  </si>
  <si>
    <t>Origen con columnas de seguimiento posiblemente incompletas; normalizado en CRM maestro.</t>
  </si>
  <si>
    <t>Salas|mail.barracudas@gmail.com</t>
  </si>
  <si>
    <t>Barracudas Rock Bar</t>
  </si>
  <si>
    <t>mail.barracudas@gmail.com</t>
  </si>
  <si>
    <t>https://madridenvivo.com/sala/barracudas/</t>
  </si>
  <si>
    <t>Buen encaje para covers rock.</t>
  </si>
  <si>
    <t>Salas|beerstation22@gmail.com</t>
  </si>
  <si>
    <t>Beer Station</t>
  </si>
  <si>
    <t>Cuesta de Santo Domingo, 22, 28013 Madrid</t>
  </si>
  <si>
    <t>beerstation22@gmail.com</t>
  </si>
  <si>
    <t>https://beerstation.com/</t>
  </si>
  <si>
    <t>https://madridenvivo.com/sala/beer-station/</t>
  </si>
  <si>
    <t>Puede estar más orientado a comedia/café teatro.</t>
  </si>
  <si>
    <t>Salas|ballroom@bigmamaswing.com</t>
  </si>
  <si>
    <t>Big Mama Ballroom</t>
  </si>
  <si>
    <t>ballroom@bigmamaswing.com</t>
  </si>
  <si>
    <t>https://bigmamaswing.com/</t>
  </si>
  <si>
    <t>https://madridenvivo.com/sala/big-mama-ballroom/</t>
  </si>
  <si>
    <t>Baja</t>
  </si>
  <si>
    <t>No enviar</t>
  </si>
  <si>
    <t>Marcado para revisión/manual por encaje o prioridad.</t>
  </si>
  <si>
    <t>Baja/media prioridad por estilo.</t>
  </si>
  <si>
    <t>Salas|salabuhorealbar@gmail.com</t>
  </si>
  <si>
    <t>Búho Real</t>
  </si>
  <si>
    <t>C. de Regueros, 5, 28004 Madrid</t>
  </si>
  <si>
    <t>salabuhorealbar@gmail.com</t>
  </si>
  <si>
    <t>https://buhoreal.com/</t>
  </si>
  <si>
    <t>https://madridenvivo.com/sala/buho-real/</t>
  </si>
  <si>
    <t>Más orientada a cantautor/acústico; posible versión reducida.</t>
  </si>
  <si>
    <t>Salas|info@bulebulemadrid.com</t>
  </si>
  <si>
    <t>Bule Bule</t>
  </si>
  <si>
    <t>C. del Marqués de Valdeiglesias, 6, 28004 Madrid</t>
  </si>
  <si>
    <t>info@bulebulemadrid.com</t>
  </si>
  <si>
    <t>https://bulebulemadrid.com/</t>
  </si>
  <si>
    <t>https://madridenvivo.com/sala/bule-bule/</t>
  </si>
  <si>
    <t>Puede requerir formato show.</t>
  </si>
  <si>
    <t>Salas|hello@cadavraclub.com</t>
  </si>
  <si>
    <t>Cadavra Club</t>
  </si>
  <si>
    <t>hello@cadavraclub.com</t>
  </si>
  <si>
    <t>https://cadavraclub.com/</t>
  </si>
  <si>
    <t>https://madridenvivo.com/sala/cadavra-club/</t>
  </si>
  <si>
    <t>Encaje posible.</t>
  </si>
  <si>
    <t>Salas|info@cadillacsolitario.com</t>
  </si>
  <si>
    <t>Cadillac Solitario</t>
  </si>
  <si>
    <t>C. de Fermín Caballero, 6, 28034 Madrid</t>
  </si>
  <si>
    <t>info@cadillacsolitario.com</t>
  </si>
  <si>
    <t>https://cadillacsolitario.com/</t>
  </si>
  <si>
    <t>https://madridenvivo.com/sala/cadillac-solitario/</t>
  </si>
  <si>
    <t>Buen encaje para formato sala/bar.</t>
  </si>
  <si>
    <t>Salas|info@cafeberlin.es</t>
  </si>
  <si>
    <t>Café Berlín</t>
  </si>
  <si>
    <t>Costanilla de los Ángeles, 20, 28013 Madrid</t>
  </si>
  <si>
    <t>info@cafeberlin.es</t>
  </si>
  <si>
    <t>https://cafeberlin.es/</t>
  </si>
  <si>
    <t>https://madridenvivo.com/sala/cafe-berlin/</t>
  </si>
  <si>
    <t>Puede ser menos adecuado para covers; probar con buen dossier.</t>
  </si>
  <si>
    <t>Salas|programacion@cafecentralmadrid.com</t>
  </si>
  <si>
    <t>Café Central</t>
  </si>
  <si>
    <t>Pl. del Ángel, 10, 28012 Madrid</t>
  </si>
  <si>
    <t>programacion@cafecentralmadrid.com</t>
  </si>
  <si>
    <t>https://www.cafecentralmadrid.com/</t>
  </si>
  <si>
    <t>https://madridenvivo.com/sala/cafe-central/</t>
  </si>
  <si>
    <t>Enviar solo si tenéis formato más cuidado/acústico.</t>
  </si>
  <si>
    <t>Salas|cafeeldespertar@hotmail.com</t>
  </si>
  <si>
    <t>Café El Despertar</t>
  </si>
  <si>
    <t>C. de la Torrecilla del Leal, 18, 28012 Madrid</t>
  </si>
  <si>
    <t>cafeeldespertar@hotmail.com</t>
  </si>
  <si>
    <t>https://cafeeldespertar.com/</t>
  </si>
  <si>
    <t>https://madridenvivo.com/sala/cafe-el-despertar/</t>
  </si>
  <si>
    <t>Encaje medio/bajo para banda eléctrica completa.</t>
  </si>
  <si>
    <t>Salas|cafelapalma@cafelapalma.com</t>
  </si>
  <si>
    <t>Café La Palma</t>
  </si>
  <si>
    <t>C. de la Palma, 62, 28015 Madrid</t>
  </si>
  <si>
    <t>cafelapalma@cafelapalma.com</t>
  </si>
  <si>
    <t>915 22 50 31</t>
  </si>
  <si>
    <t>https://cafelapalma.com/</t>
  </si>
  <si>
    <t>https://madridenvivo.com/sala/cafe-la-palma/</t>
  </si>
  <si>
    <t>Buen encaje si aceptan versiones.</t>
  </si>
  <si>
    <t>Salas|elcandela.madrid@gmail.com</t>
  </si>
  <si>
    <t>Candela</t>
  </si>
  <si>
    <t>C. del Olmo, 2, 28012 Madrid</t>
  </si>
  <si>
    <t>elcandela.madrid@gmail.com</t>
  </si>
  <si>
    <t>https://madridenvivo.com/sala/candela/</t>
  </si>
  <si>
    <t>Baja prioridad para covers rock/pop.</t>
  </si>
  <si>
    <t>Salas|reservas@cardamomo.com</t>
  </si>
  <si>
    <t>Cardamomo</t>
  </si>
  <si>
    <t>C. de Echegaray, 15, 28014 Madrid</t>
  </si>
  <si>
    <t>reservas@cardamomo.com</t>
  </si>
  <si>
    <t>https://cardamomo.com/</t>
  </si>
  <si>
    <t>https://madridenvivo.com/sala/cardamomo/</t>
  </si>
  <si>
    <t>Baja prioridad para el estilo del grupo.</t>
  </si>
  <si>
    <t>Salas|info.musica@juventudfuenla.com</t>
  </si>
  <si>
    <t>Casa de la Música Fuenlabrada</t>
  </si>
  <si>
    <t>Fuenlabrada</t>
  </si>
  <si>
    <t>C. Valdemorillo, 1, 28944 Fuenlabrada</t>
  </si>
  <si>
    <t>info.musica@juventudfuenla.com</t>
  </si>
  <si>
    <t>91 615 20 30</t>
  </si>
  <si>
    <t>https://www.juventudfuenla.com/</t>
  </si>
  <si>
    <t>Contacto institucional; puede orientar a programación local.</t>
  </si>
  <si>
    <t>Salas|conciertos@cienporcienmadrid.es</t>
  </si>
  <si>
    <t>Cien por Cien</t>
  </si>
  <si>
    <t>C. de la Santísima Trinidad, 30, 28010 Madrid</t>
  </si>
  <si>
    <t>conciertos@cienporcienmadrid.es</t>
  </si>
  <si>
    <t>https://cienporcienmadrid.es/</t>
  </si>
  <si>
    <t>https://madridenvivo.com/sala/cien-por-cien/</t>
  </si>
  <si>
    <t>Cien Por cien</t>
  </si>
  <si>
    <t>Medio</t>
  </si>
  <si>
    <t>Pendiente de contactar con César</t>
  </si>
  <si>
    <t>Redirigen la propuesta a conciertos@cienporcienmadrid.es</t>
  </si>
  <si>
    <t>Buen encaje para formato sala/bar. Responden desde info@cienporcienmadrid.es indicando que la información debe enviarse a conciertos@cienporcienmadrid.es, que lo ve César, el programador.
[07/05/2026 09:40] Respuesta de Cien Por cien: Hola, chicos!
Llamarme esta tarde y nos contamos.
Si no cojo, me dejáis wasap
Cesar 606956225
Enviado desde mi iPhone
El 4 may 2026, a las 22:28, Ñ Mayuscula &lt;enhemayuscula@gmail.com&gt; escribió:
﻿
Hola equipo de Cien por Cien, 
Somos Ñ Mayúscula / Eñe Mayúscula, un grupo de Madrid que hace covers de 
rock y pop en español. Llevamos un año y medio de trayectoria y estamos 
buscando salas y local</t>
  </si>
  <si>
    <t>Hola, chicos!
Llamarme esta tarde y nos contamos.
Si no cojo, me dejáis wasap
Cesar 606956225
Enviado desde mi iPhone
El 4 may 2026, a las 22:28, Ñ Mayuscula &lt;enhemayuscula@gmail.com&gt; escribió:
﻿
Hola equipo de Cien por Cien, 
Somos Ñ Mayúscula / Eñe Mayúscula, un grupo de Madrid que hace covers de 
rock y pop en español. Llevamos un año y medio de trayectoria y estamos 
buscando salas y local</t>
  </si>
  <si>
    <t>Error creando borrador: Invalid email: mailto:info@cienporcienmadrid.es</t>
  </si>
  <si>
    <t>Salas|info@salaclamores.com</t>
  </si>
  <si>
    <t>Clamores</t>
  </si>
  <si>
    <t>C. de Alburquerque, 14, 28010 Madrid</t>
  </si>
  <si>
    <t>info@salaclamores.com</t>
  </si>
  <si>
    <t>https://salaclamores.es/</t>
  </si>
  <si>
    <t>https://madridenvivo.com/sala/clamores/</t>
  </si>
  <si>
    <t>Encaje medio; mejor si enfatizáis calidad del directo.</t>
  </si>
  <si>
    <t>Salas|info@contraclub.es</t>
  </si>
  <si>
    <t>Contraclub</t>
  </si>
  <si>
    <t>C. de Bailén, 16, 28005 Madrid</t>
  </si>
  <si>
    <t>info@contraclub.es</t>
  </si>
  <si>
    <t>https://contraclub.es/</t>
  </si>
  <si>
    <t>https://madridenvivo.com/sala/contraclub/</t>
  </si>
  <si>
    <t>Sergio Blanco</t>
  </si>
  <si>
    <t>Alto</t>
  </si>
  <si>
    <t>J 14/05 — víspera de San Isidro
D 17/05 — San Isidro
V 05/06
S 04/07
V 10/07</t>
  </si>
  <si>
    <t>Envía condicionado de sala para conciertos 2026. Revisar condicionado y confirmar si aceptamos condiciones para ver disponibilidad de fechas.</t>
  </si>
  <si>
    <t>Revisar condicionado y responder con fechas que encajan</t>
  </si>
  <si>
    <t>Buen encaje para pase de banda. Sergio Blanco, CEO de ContraClub, responde con condicionado de sala para conciertos 2026 y posteriormente envía disponibilidad: J 14/05, D 17/05, V 05/06, S 04/07 y V 10/07. Oportunidad caliente.</t>
  </si>
  <si>
    <t>sergioblanco@contraclub.es</t>
  </si>
  <si>
    <t>Salas|hola@coolturecafe.es</t>
  </si>
  <si>
    <t>Coolture Café</t>
  </si>
  <si>
    <t>Rivas-Vaciamadrid</t>
  </si>
  <si>
    <t>hola@coolturecafe.es</t>
  </si>
  <si>
    <t>614 111 597</t>
  </si>
  <si>
    <t>https://coolturecafe.es/</t>
  </si>
  <si>
    <t>Buen encaje para directo en Rivas.</t>
  </si>
  <si>
    <t>Salas|cultura@ayto-getafe.org</t>
  </si>
  <si>
    <t>Cultura Getafe</t>
  </si>
  <si>
    <t>Getafe</t>
  </si>
  <si>
    <t>C. Ramón y Cajal, 22, Getafe</t>
  </si>
  <si>
    <t>cultura@ayto-getafe.org</t>
  </si>
  <si>
    <t>91 208 04 61</t>
  </si>
  <si>
    <t>https://cultura.getafe.es/contacto/</t>
  </si>
  <si>
    <t>Puede derivar a programación de fiestas/cultura.</t>
  </si>
  <si>
    <t>Salas|info@dimequemequieresbardecopas.com</t>
  </si>
  <si>
    <t>Dime Que Me Quieres</t>
  </si>
  <si>
    <t>info@dimequemequieresbardecopas.com</t>
  </si>
  <si>
    <t>https://dimequemequieresbardecopas.com/</t>
  </si>
  <si>
    <t>https://madridenvivo.com/sala/dime-que-me-quieres/</t>
  </si>
  <si>
    <t>Carlos Bravo</t>
  </si>
  <si>
    <t>Pendiente de WhatsApp</t>
  </si>
  <si>
    <t>Pide contactar por WhatsApp para pasar información y fechas libres</t>
  </si>
  <si>
    <t xml:space="preserve"> </t>
  </si>
  <si>
    <t>Escribir WhatsApp a Carlos</t>
  </si>
  <si>
    <t>Buen encaje para covers. Carlos Bravo, programador de la sala, pide escribirle por WhatsApp al 677606742 para pasar información y fechas libres. Oportunidad caliente.</t>
  </si>
  <si>
    <t>mailto:carlvravo@gmail.com</t>
  </si>
  <si>
    <t>Error creando borrador: Invalid email: mailto:carlvravo@gmail.com</t>
  </si>
  <si>
    <t>Salas|diodonpub@gmail.com</t>
  </si>
  <si>
    <t>Diodón</t>
  </si>
  <si>
    <t>Alcorcón</t>
  </si>
  <si>
    <t>diodonpub@gmail.com</t>
  </si>
  <si>
    <t>675 563 625</t>
  </si>
  <si>
    <t>https://www.diodon.es/</t>
  </si>
  <si>
    <t>Buen encaje para directo de versiones.</t>
  </si>
  <si>
    <t>Salas|barrioderivas@gmail.com</t>
  </si>
  <si>
    <t>El Bar Río de Rivas</t>
  </si>
  <si>
    <t>barrioderivas@gmail.com</t>
  </si>
  <si>
    <t>646 985 845</t>
  </si>
  <si>
    <t>https://www.facebook.com/barrioderivas/</t>
  </si>
  <si>
    <t>Encaje medio/alto.</t>
  </si>
  <si>
    <t>Salas|elperroclubmad@gmail.com</t>
  </si>
  <si>
    <t>El Perro Club</t>
  </si>
  <si>
    <t>C. de la Puebla, 15, 28004 Madrid</t>
  </si>
  <si>
    <t>elperroclubmad@gmail.com</t>
  </si>
  <si>
    <t>https://elperroclub.com/</t>
  </si>
  <si>
    <t>https://madridenvivo.com/sala/el-perro-club/</t>
  </si>
  <si>
    <t>Buen encaje si programan versiones.</t>
  </si>
  <si>
    <t>Salas|elrincondeelviss@gmail.com</t>
  </si>
  <si>
    <t>El Rincón de Elvis</t>
  </si>
  <si>
    <t>Collado Villalba</t>
  </si>
  <si>
    <t>C. Anastasio Nieto, 10, 28400 Collado Villalba</t>
  </si>
  <si>
    <t>elrincondeelviss@gmail.com</t>
  </si>
  <si>
    <t>91 238 2381 / 687 580 158</t>
  </si>
  <si>
    <t>https://www.elrincondeelvis.es/contacto/</t>
  </si>
  <si>
    <t>Vicente Carreño</t>
  </si>
  <si>
    <t>Buen encaje para covers rock/pop.
[04/05/2026 17:48] Respuesta de Vicente Carreño: Hola hasta julio no tenemos hueco,darme un número de teléfono y ya me pongo
en contacto con vosotros y hablamos.un saludo
El lun, 4 may 2026, 13:58, &lt;enhemayuscula@gmail.com&gt; escribió:
&gt; Hola equipo de El Rincón de Elvis,
&gt;
&gt; Somos Ñ Mayúscula / Eñe Mayúscula, un grupo de Madrid que hace covers
&gt; de rock y pop en español. Llevamos un año y medio de trayectoria y
&gt; estamos buscando salas y l</t>
  </si>
  <si>
    <t>Hola hasta julio no tenemos hueco,darme un número de teléfono y ya me pongo
en contacto con vosotros y hablamos.un saludo
El lun, 4 may 2026, 13:58, &lt;enhemayuscula@gmail.com&gt; escribió:
&gt; Hola equipo de El Rincón de Elvis,
&gt;
&gt; Somos Ñ Mayúscula / Eñe Mayúscula, un grupo de Madrid que hace covers
&gt; de rock y pop en español. Llevamos un año y medio de trayectoria y
&gt; estamos buscando salas y l</t>
  </si>
  <si>
    <t>Salas|info@salaelsotano.com</t>
  </si>
  <si>
    <t>El Sótano</t>
  </si>
  <si>
    <t>C. de las Maldonadas, 6, 28005 Madrid</t>
  </si>
  <si>
    <t>info@salaelsotano.com</t>
  </si>
  <si>
    <t>https://salaelsotano.com/</t>
  </si>
  <si>
    <t>https://madridenvivo.com/sala/el-sotano/</t>
  </si>
  <si>
    <t>Buen encaje para banda de versiones.</t>
  </si>
  <si>
    <t>Salas|elefanteblancodirectos@gmail.com</t>
  </si>
  <si>
    <t>Elefante Blanco</t>
  </si>
  <si>
    <t>elefanteblancodirectos@gmail.com</t>
  </si>
  <si>
    <t>https://madridenvivo.com/sala/elefante-blanco/</t>
  </si>
  <si>
    <t>Buen encaje para versiones.</t>
  </si>
  <si>
    <t>Salas|etecglen@gmail.com</t>
  </si>
  <si>
    <t>Ernesto’s Pub Vieja Banda</t>
  </si>
  <si>
    <t>etecglen@gmail.com</t>
  </si>
  <si>
    <t>636 978 121</t>
  </si>
  <si>
    <t>https://www.facebook.com/ernestospubviejabanda/</t>
  </si>
  <si>
    <t>Salas|kiko.lazaro@hotmail.com</t>
  </si>
  <si>
    <t>Espacio Metrópolis</t>
  </si>
  <si>
    <t>Torrejón de Ardoz</t>
  </si>
  <si>
    <t>C. Caucho, 13, 28850 Torrejón de Ardoz</t>
  </si>
  <si>
    <t>kiko.lazaro@hotmail.com</t>
  </si>
  <si>
    <t>615 120 911</t>
  </si>
  <si>
    <t>https://espaciometropolis.com/</t>
  </si>
  <si>
    <t>https://www.facebook.com/espaciometropolis/?locale=es_ES</t>
  </si>
  <si>
    <t>Encaje alto para eventos/tributos.</t>
  </si>
  <si>
    <t>Salas|musica.joven@ayto-getafe.org</t>
  </si>
  <si>
    <t>Espacio Música Joven Getafe</t>
  </si>
  <si>
    <t>C. Guadalajara s/n, Getafe</t>
  </si>
  <si>
    <t>MUSICA.JOVEN@ayto-getafe.org</t>
  </si>
  <si>
    <t>91 202 79 92</t>
  </si>
  <si>
    <t>https://www.getafejoven.com/casajuv-musica</t>
  </si>
  <si>
    <t>Útil para red local, no necesariamente sala comercial.</t>
  </si>
  <si>
    <t>Salas|actuaciones@fulanitadetal.com</t>
  </si>
  <si>
    <t>Fulanita de Tal</t>
  </si>
  <si>
    <t>C. de Regueros, 9, 28004 Madrid</t>
  </si>
  <si>
    <t>actuaciones@fulanitadetal.com</t>
  </si>
  <si>
    <t>https://fulanitadetal.com/</t>
  </si>
  <si>
    <t>https://madridenvivo.com/sala/fulanita-de-tal/</t>
  </si>
  <si>
    <t>Salas|funhousemusicclub@gmail.com</t>
  </si>
  <si>
    <t>Fun House Music Club</t>
  </si>
  <si>
    <t>C. de Palafox, 8, 28010 Madrid</t>
  </si>
  <si>
    <t>funhousemusicclub@gmail.com</t>
  </si>
  <si>
    <t>https://funhousemusicbar.com/</t>
  </si>
  <si>
    <t>https://madridenvivo.com/sala/fun-house/</t>
  </si>
  <si>
    <t>Fun House Madrid Palafox 8</t>
  </si>
  <si>
    <t xml:space="preserve">Buen encaje para covers rock/pop.
[06/05/2026 10:55] Respuesta de Fun House Madrid Palafox 8: Escribir wasap a Javi al 685774716. abrazo
El lun, 4 may 2026 a las 13:56, &lt;enhemayuscula@gmail.com&gt; escribió:
&gt; Hola equipo de Fun House Music Club,
&gt;
&gt; Somos Ñ Mayúscula / Eñe Mayúscula, un grupo de Madrid que hace covers
&gt; de rock y pop en español. Llevamos un año y medio de trayectoria y
&gt; estamos buscando salas y locales de música en directo donde poder
&gt; tocar en los próximos meses.
</t>
  </si>
  <si>
    <t xml:space="preserve">Escribir wasap a Javi al 685774716. abrazo
El lun, 4 may 2026 a las 13:56, &lt;enhemayuscula@gmail.com&gt; escribió:
&gt; Hola equipo de Fun House Music Club,
&gt;
&gt; Somos Ñ Mayúscula / Eñe Mayúscula, un grupo de Madrid que hace covers
&gt; de rock y pop en español. Llevamos un año y medio de trayectoria y
&gt; estamos buscando salas y locales de música en directo donde poder
&gt; tocar en los próximos meses.
</t>
  </si>
  <si>
    <t>Salas|artistas@salagalileo.com</t>
  </si>
  <si>
    <t>Galileo Galilei</t>
  </si>
  <si>
    <t>C. Galileo, 100, 28015 Madrid</t>
  </si>
  <si>
    <t>artistas@salagalileo.com</t>
  </si>
  <si>
    <t>https://salagalileo.com/</t>
  </si>
  <si>
    <t>https://madridenvivo.com/sala/galileo-galilei/</t>
  </si>
  <si>
    <t>Puede requerir más trayectoria/dossier.</t>
  </si>
  <si>
    <t>Salas|oficina@gruta77.com</t>
  </si>
  <si>
    <t>Gruta 77</t>
  </si>
  <si>
    <t>C. Cuclillo, 6, 28019 Madrid</t>
  </si>
  <si>
    <t>oficina@gruta77.com</t>
  </si>
  <si>
    <t>https://gruta77.com/</t>
  </si>
  <si>
    <t>https://madridenvivo.com/sala/gruta-77/</t>
  </si>
  <si>
    <t>Buen encaje, aunque puede ser más rockera.</t>
  </si>
  <si>
    <t>Salas|conciertos@hangar48.es</t>
  </si>
  <si>
    <t>Hangar 48</t>
  </si>
  <si>
    <t>C. de Bailén, 24, 28005 Madrid</t>
  </si>
  <si>
    <t>conciertos@hangar48.es</t>
  </si>
  <si>
    <t>info@hangar48.es</t>
  </si>
  <si>
    <t>91 136 51 27</t>
  </si>
  <si>
    <t>https://hangar48.es/</t>
  </si>
  <si>
    <t>https://madridenvivo.com/sala/hangar-48/</t>
  </si>
  <si>
    <t>Buen encaje.</t>
  </si>
  <si>
    <t>Salas|honky@clubhonky.com</t>
  </si>
  <si>
    <t>Honky Tonk</t>
  </si>
  <si>
    <t>C. de Covarrubias, 24, 28010 Madrid</t>
  </si>
  <si>
    <t>honky@clubhonky.com</t>
  </si>
  <si>
    <t>91 445 61 91</t>
  </si>
  <si>
    <t>https://clubhonky.com/</t>
  </si>
  <si>
    <t>https://madridenvivo.com/sala/honky-tonk/</t>
  </si>
  <si>
    <t>Muy buen encaje por programación de tributos/pop-rock.</t>
  </si>
  <si>
    <t>Salas|info@independanceclub.com</t>
  </si>
  <si>
    <t>Independance Club</t>
  </si>
  <si>
    <t>C. de Atocha, 125, 28012 Madrid</t>
  </si>
  <si>
    <t>info@independanceclub.com</t>
  </si>
  <si>
    <t>https://independanceclub.com/</t>
  </si>
  <si>
    <t>https://madridenvivo.com/sala/independance-club/</t>
  </si>
  <si>
    <t>Buen encaje para covers/tributos.</t>
  </si>
  <si>
    <t>Salas|info@intrusobar.com</t>
  </si>
  <si>
    <t>Intruso Bar</t>
  </si>
  <si>
    <t>C. de Augusto Figueroa, 3, 28004 Madrid</t>
  </si>
  <si>
    <t>info@intrusobar.com</t>
  </si>
  <si>
    <t>https://intrusobar.com/</t>
  </si>
  <si>
    <t>https://madridenvivo.com/sala/intruso-bar/</t>
  </si>
  <si>
    <t>Buen encaje medio/alto.</t>
  </si>
  <si>
    <t>Salas|jazzvillecafe@gmail.com</t>
  </si>
  <si>
    <t>Jazzville</t>
  </si>
  <si>
    <t>jazzvillecafe@gmail.com</t>
  </si>
  <si>
    <t>https://madridenvivo.com/sala/jazzville/</t>
  </si>
  <si>
    <t>Encaje medio si adaptáis repertorio.</t>
  </si>
  <si>
    <t>Salas|khalum torrejon</t>
  </si>
  <si>
    <t>Khalum Torrejón</t>
  </si>
  <si>
    <t>Av. de la Constitución, 168, 28850 Torrejón de Ardoz</t>
  </si>
  <si>
    <t>677 992 691</t>
  </si>
  <si>
    <t>https://khalumtorrejon.com/</t>
  </si>
  <si>
    <t>Falta email público fiable. Revisar manualmente.</t>
  </si>
  <si>
    <t>No hay email público claro; usar formulario.</t>
  </si>
  <si>
    <t>Salas|administracion@salariviera.com</t>
  </si>
  <si>
    <t>La Riviera</t>
  </si>
  <si>
    <t>P.º Bajo de la Virgen del Puerto, s/n, 28005 Madrid</t>
  </si>
  <si>
    <t>administracion@salariviera.com</t>
  </si>
  <si>
    <t>https://salariviera.com/</t>
  </si>
  <si>
    <t>https://madridenvivo.com/sala/la-riviera/</t>
  </si>
  <si>
    <t>Prioridad media/baja; más difícil para banda emergente de covers.</t>
  </si>
  <si>
    <t>Salas|letsgoalive@gmail.com</t>
  </si>
  <si>
    <t>Let's Go Rock Bar</t>
  </si>
  <si>
    <t>C. San Roque, 51, 28982 Parla</t>
  </si>
  <si>
    <t>letsgoalive@gmail.com</t>
  </si>
  <si>
    <t>https://www.salasdeconcierto.net/es/salas/sala-let-s-go</t>
  </si>
  <si>
    <t>Salas|informacion@libertad8cafe.es</t>
  </si>
  <si>
    <t>Libertad 8</t>
  </si>
  <si>
    <t>C. de la Libertad, 8, 28004 Madrid</t>
  </si>
  <si>
    <t>informacion@libertad8cafe.es</t>
  </si>
  <si>
    <t>https://libertad8cafe.es/</t>
  </si>
  <si>
    <t>https://madridenvivo.com/sala/libertad-8/</t>
  </si>
  <si>
    <t>Mejor para formato acústico.</t>
  </si>
  <si>
    <t>Salas|info@maclarens.es</t>
  </si>
  <si>
    <t>MacLaren’s Rivas</t>
  </si>
  <si>
    <t>Av. Aurelio Álvarez, 4 Local 9, 28521 Rivas-Vaciamadrid</t>
  </si>
  <si>
    <t>info@maclarens.es</t>
  </si>
  <si>
    <t>https://maclarens.es/</t>
  </si>
  <si>
    <t>Encaje medio; preguntar condiciones.</t>
  </si>
  <si>
    <t>Salas|gerardo@orita.es</t>
  </si>
  <si>
    <t>Malamaluca</t>
  </si>
  <si>
    <t>Majadahonda</t>
  </si>
  <si>
    <t>Ctra. Pozuelo de Alarcón, 48, 28222 Majadahonda</t>
  </si>
  <si>
    <t>gerardo@orita.es</t>
  </si>
  <si>
    <t>649 420 761</t>
  </si>
  <si>
    <t>https://www.lnkmsc.com/spaces/malamaluca/profile/</t>
  </si>
  <si>
    <t>Email de empresa; conviene revisar antes de enviar si queréis máxima precisión.</t>
  </si>
  <si>
    <t>Salas|mangatarivas@gmail.com</t>
  </si>
  <si>
    <t>Mangata Rivas</t>
  </si>
  <si>
    <t>mangatarivas@gmail.com</t>
  </si>
  <si>
    <t>91 562 51 76 / 618 360 690</t>
  </si>
  <si>
    <t>https://mangatarivas.com/</t>
  </si>
  <si>
    <t>Encaje posible para actuaciones.</t>
  </si>
  <si>
    <t>Salas|programacionmaravillas@gmail.com</t>
  </si>
  <si>
    <t>Maravillas Club</t>
  </si>
  <si>
    <t>C. de San Vicente Ferrer, 33, 28004 Madrid</t>
  </si>
  <si>
    <t>programacionmaravillas@gmail.com</t>
  </si>
  <si>
    <t>comunicacion@maravillasclub.com</t>
  </si>
  <si>
    <t>https://maravillasclub.com/</t>
  </si>
  <si>
    <t>Usar email de programación.</t>
  </si>
  <si>
    <t>Salas|mobydickclub@mobydickclub.com</t>
  </si>
  <si>
    <t>Moby Dick Club</t>
  </si>
  <si>
    <t>Av. de Brasil, 5, 28020 Madrid</t>
  </si>
  <si>
    <t>mobydickclub@mobydickclub.com</t>
  </si>
  <si>
    <t>https://www.mobydickclub.com/</t>
  </si>
  <si>
    <t>https://madridenvivo.com/sala/moby-dick/</t>
  </si>
  <si>
    <t>Buen encaje para banda con trayectoria.</t>
  </si>
  <si>
    <t>Salas|info@moeclub.com</t>
  </si>
  <si>
    <t>Moe Club</t>
  </si>
  <si>
    <t>C. de Alberto Alcocer, 32, 28036 Madrid</t>
  </si>
  <si>
    <t>info@moeclub.com</t>
  </si>
  <si>
    <t>https://moeclub.com/</t>
  </si>
  <si>
    <t>https://madridenvivo.com/sala/moe/</t>
  </si>
  <si>
    <t>Encaje medio/alto.
[05/05/2026 11:22] Respuesta de Moe Club: Hola 
Muchas gracias por escribirnos.
Lo sentimos pero no nos cuadra con nuestra programación. Estamos orientados 
principalmente al jazz, soul, funk y blues.
Un saludo!
El 04/05/2026 13:58 CEST enhemayuscula@gmail.com escribió: 
Hola equipo de Moe Club,
Somos Ñ Mayúscula / Eñe Mayúscula, un grupo de Madrid que hace covers
de rock y pop en español. Llevamos un año y medio de trayectoria y</t>
  </si>
  <si>
    <t>Hola 
Muchas gracias por escribirnos.
Lo sentimos pero no nos cuadra con nuestra programación. Estamos orientados 
principalmente al jazz, soul, funk y blues.
Un saludo!
El 04/05/2026 13:58 CEST enhemayuscula@gmail.com escribió: 
Hola equipo de Moe Club,
Somos Ñ Mayúscula / Eñe Mayúscula, un grupo de Madrid que hace covers
de rock y pop en español. Llevamos un año y medio de trayectoria y</t>
  </si>
  <si>
    <t>Salas|juanmablan@gmail.com</t>
  </si>
  <si>
    <t>Monkey Rock</t>
  </si>
  <si>
    <t>San Sebastián de los Reyes</t>
  </si>
  <si>
    <t>C. Real, 71, 28703 San Sebastián de los Reyes</t>
  </si>
  <si>
    <t>juanmablan@gmail.com</t>
  </si>
  <si>
    <t>661 611 164</t>
  </si>
  <si>
    <t>https://www.facebook.com/monkeyjuanma/</t>
  </si>
  <si>
    <t>https://www.facebook.com/monkeyjuanma/?locale=es_ES</t>
  </si>
  <si>
    <t>Buen encaje rock/pop; contactar de forma cercana.</t>
  </si>
  <si>
    <t>Salas|salamoroccomadrid@gmail.com</t>
  </si>
  <si>
    <t>Morocco</t>
  </si>
  <si>
    <t>C. del Marqués de Leganés, 7, 28004 Madrid</t>
  </si>
  <si>
    <t>salamoroccomadrid@gmail.com</t>
  </si>
  <si>
    <t>https://salamorocco.com/</t>
  </si>
  <si>
    <t>https://madridenvivo.com/sala/morocco/</t>
  </si>
  <si>
    <t>Salas|nao-bistrobar@outlook.com</t>
  </si>
  <si>
    <t>Nao BistroBar</t>
  </si>
  <si>
    <t>nao-bistrobar@outlook.com</t>
  </si>
  <si>
    <t>info@naobistrobar.com</t>
  </si>
  <si>
    <t>https://naobistrobar.com/</t>
  </si>
  <si>
    <t>Buen encaje para formato bar/terraza.</t>
  </si>
  <si>
    <t>Salas|musicapiratas@gmail.com</t>
  </si>
  <si>
    <t>Piratas Rock Wey Alcorcón</t>
  </si>
  <si>
    <t>C. Navales, 33, 28923 Alcorcón</t>
  </si>
  <si>
    <t>musicapiratas@gmail.com</t>
  </si>
  <si>
    <t>637 673 984</t>
  </si>
  <si>
    <t>https://www.piratasrock.com/eventos/</t>
  </si>
  <si>
    <t>Prioridad alta fuera de Madrid capital.</t>
  </si>
  <si>
    <t>Salas|info@reylouie.com</t>
  </si>
  <si>
    <t>Rey Louie Bar Concierto</t>
  </si>
  <si>
    <t>Av. de España, 51, 28220 Majadahonda</t>
  </si>
  <si>
    <t>info@reylouie.com</t>
  </si>
  <si>
    <t>https://reylouie.com/</t>
  </si>
  <si>
    <t>Salas|rincondelarten@gmail.com</t>
  </si>
  <si>
    <t>Rincón del Arte Nuevo</t>
  </si>
  <si>
    <t>C. de Segovia, 17, 28005 Madrid</t>
  </si>
  <si>
    <t>rincondelarten@gmail.com</t>
  </si>
  <si>
    <t>https://rincondelartenuevo.com/</t>
  </si>
  <si>
    <t>Mejor para formato acústico/pequeño.</t>
  </si>
  <si>
    <t>Salas|programacion@rockville.es</t>
  </si>
  <si>
    <t>Rockville</t>
  </si>
  <si>
    <t>Av. de Brasil, 3, 28020 Madrid</t>
  </si>
  <si>
    <t>programacion@rockville.es</t>
  </si>
  <si>
    <t>info@rockville.es</t>
  </si>
  <si>
    <t>91 066 57 45</t>
  </si>
  <si>
    <t>https://rockville.es/contacta/</t>
  </si>
  <si>
    <t>Muy buen encaje para covers rock/pop.</t>
  </si>
  <si>
    <t>Salas|sala 8 villalba</t>
  </si>
  <si>
    <t>Sala 8 Villalba</t>
  </si>
  <si>
    <t>https://fiestaismadrid.es/destalles-del-local/sala-numero-8/</t>
  </si>
  <si>
    <t>Falta email directo; revisar redes/contacto.</t>
  </si>
  <si>
    <t>Salas|info@aperitoche.com</t>
  </si>
  <si>
    <t>Sala Aperitoche</t>
  </si>
  <si>
    <t>Las Rozas</t>
  </si>
  <si>
    <t>C. Copenhague, 10, 28232 Las Rozas</t>
  </si>
  <si>
    <t>info@aperitoche.com</t>
  </si>
  <si>
    <t>669 448 450</t>
  </si>
  <si>
    <t>https://www.aperitoche.com/contacto/</t>
  </si>
  <si>
    <t>Muy buen encaje para banda de versiones.</t>
  </si>
  <si>
    <t>Salas|salab@tabernabienmesabe.com</t>
  </si>
  <si>
    <t>Sala B</t>
  </si>
  <si>
    <t>salab@tabernabienmesabe.com</t>
  </si>
  <si>
    <t>https://madridenvivo.com/sala/sala-b/</t>
  </si>
  <si>
    <t>Buen encaje para propuestas de directo.</t>
  </si>
  <si>
    <t>Salas|info@ego-live.com</t>
  </si>
  <si>
    <t>Sala Ego Live</t>
  </si>
  <si>
    <t>Alcalá de Henares</t>
  </si>
  <si>
    <t>C. Zaragoza, 8, 28804 Alcalá de Henares</t>
  </si>
  <si>
    <t>info@ego-live.com</t>
  </si>
  <si>
    <t>666 773 338 / 630 845 495</t>
  </si>
  <si>
    <t>https://ego-live.com/</t>
  </si>
  <si>
    <t>Muy buen encaje fuera de capital.</t>
  </si>
  <si>
    <t>Salas|programacion@salaelsol.com</t>
  </si>
  <si>
    <t>Sala El Sol</t>
  </si>
  <si>
    <t>C. Jardines, 3, 28013 Madrid</t>
  </si>
  <si>
    <t>programacion@salaelsol.com</t>
  </si>
  <si>
    <t>raul@salaelsol.com</t>
  </si>
  <si>
    <t>915 326 490</t>
  </si>
  <si>
    <t>https://salaelsol.com/contacto/</t>
  </si>
  <si>
    <t>Puede requerir propuesta más consolidada.</t>
  </si>
  <si>
    <t>Salas|davidcr142@gmail.com</t>
  </si>
  <si>
    <t>Sala Inferno’s Rock Bar</t>
  </si>
  <si>
    <t>Móstoles</t>
  </si>
  <si>
    <t>davidcr142@gmail.com</t>
  </si>
  <si>
    <t>676 252 899</t>
  </si>
  <si>
    <t>https://www.facebook.com/salainfernos/</t>
  </si>
  <si>
    <t>Revisar manualmente antes de envío automático.</t>
  </si>
  <si>
    <t>Salas|info@salajuglar.com</t>
  </si>
  <si>
    <t>Sala Juglar</t>
  </si>
  <si>
    <t>C. de Lavapiés, 37, 28012 Madrid</t>
  </si>
  <si>
    <t>info@salajuglar.com</t>
  </si>
  <si>
    <t>915 284 381</t>
  </si>
  <si>
    <t>https://salajuglar.com/</t>
  </si>
  <si>
    <t>Buen encaje para formato cercano.</t>
  </si>
  <si>
    <t>Salas|dejovenes@leganes.org</t>
  </si>
  <si>
    <t>Sala Mandala / Dejóvenes Leganés</t>
  </si>
  <si>
    <t>Leganés</t>
  </si>
  <si>
    <t>dejovenes@leganes.org</t>
  </si>
  <si>
    <t>690 603 596</t>
  </si>
  <si>
    <t>https://www.dejovenesleganes.es/noticias/detalle/la-sala-mandala</t>
  </si>
  <si>
    <t>Encaje más institucional; puede ser útil.</t>
  </si>
  <si>
    <t>Salas|olvido15@telefonica.net</t>
  </si>
  <si>
    <t>Sala Olvido</t>
  </si>
  <si>
    <t>C. del Olvido, 15, 28026 Madrid</t>
  </si>
  <si>
    <t>olvido15@telefonica.net</t>
  </si>
  <si>
    <t>619 22 29 19</t>
  </si>
  <si>
    <t>https://madridenvivo.com/sala/sala-olvido/</t>
  </si>
  <si>
    <t>Muy buen encaje para covers rock/pop en español.</t>
  </si>
  <si>
    <t>Salas|info@silikona.es</t>
  </si>
  <si>
    <t>Sala Silikona</t>
  </si>
  <si>
    <t>Pl. del Encuentro, 1, 28030 Madrid</t>
  </si>
  <si>
    <t>info@silikona.es</t>
  </si>
  <si>
    <t>914 399 476 / 650 829 322</t>
  </si>
  <si>
    <t>https://madridenvivo.com/sala/silikona/</t>
  </si>
  <si>
    <t>Buen encaje para directo.</t>
  </si>
  <si>
    <t>Salas|programacion@siroco.es</t>
  </si>
  <si>
    <t>Sala Siroco</t>
  </si>
  <si>
    <t>C. de San Dimas, 3, 28015 Madrid</t>
  </si>
  <si>
    <t>programacion@siroco.es</t>
  </si>
  <si>
    <t>91 593 31 73</t>
  </si>
  <si>
    <t>https://siroco.es/contacto/</t>
  </si>
  <si>
    <t>Contacto específico de programación.</t>
  </si>
  <si>
    <t>Salas|sala stigma</t>
  </si>
  <si>
    <t>Sala Stigma</t>
  </si>
  <si>
    <t>C. Hernán Cortés, 1A, 28911 Leganés</t>
  </si>
  <si>
    <t>https://www.instagram.com/sala_stigma/</t>
  </si>
  <si>
    <t>No se ha localizado email fiable; contactar por Instagram.</t>
  </si>
  <si>
    <t>Salas|info@salauni.es</t>
  </si>
  <si>
    <t>Sala UNI</t>
  </si>
  <si>
    <t>C. de Cea Bermúdez, 21, 28003 Madrid</t>
  </si>
  <si>
    <t>info@salauni.es</t>
  </si>
  <si>
    <t>https://salauni.es/</t>
  </si>
  <si>
    <t>Buen encaje; aforo mayor.</t>
  </si>
  <si>
    <t>Salas|programacion@salavesta.com</t>
  </si>
  <si>
    <t>Sala Vesta</t>
  </si>
  <si>
    <t>C. del Barquillo, 29, 28004 Madrid</t>
  </si>
  <si>
    <t>programacion@salavesta.com</t>
  </si>
  <si>
    <t>info@salavesta.com</t>
  </si>
  <si>
    <t>695 90 91 59</t>
  </si>
  <si>
    <t>https://salavesta.com/</t>
  </si>
  <si>
    <t>Web indica interesados en tocar.</t>
  </si>
  <si>
    <t>Salas|villalba@saloonbarlafrontera.es</t>
  </si>
  <si>
    <t>Saloon Bar La Frontera Villalba</t>
  </si>
  <si>
    <t>C. Fuente del Álamo, 12, 28400 Collado Villalba</t>
  </si>
  <si>
    <t>villalba@saloonbarlafrontera.es</t>
  </si>
  <si>
    <t>lafronteravillalba@hotmail.com</t>
  </si>
  <si>
    <t>639 60 78 67</t>
  </si>
  <si>
    <t>https://www.saloonbarlafrontera.es/contacto/</t>
  </si>
  <si>
    <t>Salas|samantha@shokomadrid.com</t>
  </si>
  <si>
    <t>Shôko Live</t>
  </si>
  <si>
    <t>C. de Toledo, 86, 28005 Madrid</t>
  </si>
  <si>
    <t>samantha@shokomadrid.com</t>
  </si>
  <si>
    <t>hola@shokomadrid.com</t>
  </si>
  <si>
    <t>663 700 844</t>
  </si>
  <si>
    <t>https://shokomadrid.com/es/pages/contact</t>
  </si>
  <si>
    <t>https://madridenvivo.com/sala/shoko-live/</t>
  </si>
  <si>
    <t>Contacto específico de Shoko Live según Madrid en Vivo.</t>
  </si>
  <si>
    <t>Salas|carlos@tempoclub.es</t>
  </si>
  <si>
    <t>Tempo Audiophile Club</t>
  </si>
  <si>
    <t>C. del Duque de Osuna, 8, 28015 Madrid</t>
  </si>
  <si>
    <t>carlos@tempoclub.es</t>
  </si>
  <si>
    <t>info@tempoclub.es</t>
  </si>
  <si>
    <t>91 547 75 18</t>
  </si>
  <si>
    <t>https://tempoclub.es/en/bookings/</t>
  </si>
  <si>
    <t>Buen encaje para propuesta musical.</t>
  </si>
  <si>
    <t>Salas|therocklabmadrid@gmail.com</t>
  </si>
  <si>
    <t>The RockLab</t>
  </si>
  <si>
    <t>Coslada</t>
  </si>
  <si>
    <t>C. Constantino Lobo, s/n, Coslada</t>
  </si>
  <si>
    <t>therocklabmadrid@gmail.com</t>
  </si>
  <si>
    <t>648 113 484</t>
  </si>
  <si>
    <t>https://therocklabmadrid.com/</t>
  </si>
  <si>
    <t>Salas|produccion@grupovivalasvegas.com</t>
  </si>
  <si>
    <t>Thundercat Club</t>
  </si>
  <si>
    <t>C. de Campoamor, 11, 28004 Madrid</t>
  </si>
  <si>
    <t>produccion@grupovivalasvegas.com</t>
  </si>
  <si>
    <t>info@thundercatclub.com</t>
  </si>
  <si>
    <t>627 76 45 77</t>
  </si>
  <si>
    <t>https://thundercatclub.com/contacto/</t>
  </si>
  <si>
    <t>Encaje muy alto para covers rock/pop.</t>
  </si>
  <si>
    <t>Salas|info@tonysonlocales.com</t>
  </si>
  <si>
    <t>Ton y Son / Sala TYS</t>
  </si>
  <si>
    <t>C. Batres, 2G, Pol. Ventorro del Cano, Alcorcón</t>
  </si>
  <si>
    <t>info@tonysonlocales.com</t>
  </si>
  <si>
    <t>630 076 285</t>
  </si>
  <si>
    <t>https://tonysonlocales.com/</t>
  </si>
  <si>
    <t>Buen contacto para bolos/eventos.</t>
  </si>
  <si>
    <t>Salas|info@salavillanos.es</t>
  </si>
  <si>
    <t>Villanos</t>
  </si>
  <si>
    <t>C. de Bernardino Obregón, 18, 28012 Madrid</t>
  </si>
  <si>
    <t>info@salavillanos.es</t>
  </si>
  <si>
    <t>press@salavillanos.com</t>
  </si>
  <si>
    <t>https://salavillanos.es/contacto-y-localizacion/</t>
  </si>
  <si>
    <t>Puede estar más orientado a programación cuidada.</t>
  </si>
  <si>
    <t>Fecha importación</t>
  </si>
  <si>
    <t>ID Gmail</t>
  </si>
  <si>
    <t>Fila CRM</t>
  </si>
  <si>
    <t>Email remitente</t>
  </si>
  <si>
    <t>Nombre remitente</t>
  </si>
  <si>
    <t>Asunto</t>
  </si>
  <si>
    <t>Fecha email</t>
  </si>
  <si>
    <t>Estado importación</t>
  </si>
  <si>
    <t>Resumen mensaje</t>
  </si>
  <si>
    <t>19df7bb60c4ae7c1</t>
  </si>
  <si>
    <t>claudia@theplannerco.es</t>
  </si>
  <si>
    <t>Claudia Postigo</t>
  </si>
  <si>
    <t>Re: Propuesta musical para Wedding &amp; event planner – Eñe Mayúscula (covers rock/pop en español)</t>
  </si>
  <si>
    <t>Sin coincidencia en CRM_GENERAL</t>
  </si>
  <si>
    <t>¡Gracias por contactarnos!
Siempre nos gusta conocer nuevos proveedores.
Lo mando al equipo para que te puedan contactar para futuras bodas!
Un saludo!
C.
&lt;http://www.theplannerco.es&gt;
On Mon, 4 May 2026 at 21:07, Ñ Mayúscula &lt;enhemayuscula@gmail.com&gt; wrote:
&gt; Hola equipo de The Planner Co.,
&gt;
&gt; Somos Ñ Mayúscula / Eñe Mayúscula, una banda de Madrid que hace covers
&gt; de rock y pop en espa</t>
  </si>
  <si>
    <t>19df771f366cc1ff</t>
  </si>
  <si>
    <t>Re: Propuesta de concierto – Eñe Mayúscula (covers rock/pop en español) para Moe Club</t>
  </si>
  <si>
    <t>Actualizado en CRM_GENERAL</t>
  </si>
  <si>
    <t>19df742228b404ad</t>
  </si>
  <si>
    <t>Re: Condicionado para concierto – Eñe Mayúscula (covers rock/pop en español) en Contraclub</t>
  </si>
  <si>
    <t>Buenos dias,
Muchas gracias por vuestro interés! Os adjunto el Condicionado de la Sala para Conciertos en 2026; echadle un vistazo y me comentáis qué os parece para ver disponibilidad de fechas si estáis de acuerdo.
Un saludo.
￼
Sergio Blanco
CEO
ContraClub
699741885 &lt;tel:699741885&gt;
	sergioblanco@contraclub.es &lt;mailto:sergioblanco@contraclub.es&gt;
	contraclub.es &lt;//contraclub.es&gt;
	Calle</t>
  </si>
  <si>
    <t>19df7532c8d9309e</t>
  </si>
  <si>
    <t>Hola Miguel,
Genial! Te dejo disponibilidad de fechas para antes de veranos en viernes y sábado a ver si os cuadra alguna…
	- J.14/05 - Víspera de festivo (San Isidro).
	- D.17/05 - Dentro de festividad de San Isidro.
	- V.05/06
	- S.04/07
	- V.10/07
Ya me dices… un saludo.
Sergio Blanco
CEO
ContraClub
699741885 &lt;tel:699741885&gt;
	sergioblanco@contraclub.es &lt;mailto:sergioblanco@contraclu</t>
  </si>
  <si>
    <t>19df71a88c35e80c</t>
  </si>
  <si>
    <t>carlvravo@gmail.com</t>
  </si>
  <si>
    <t>Vravo Music</t>
  </si>
  <si>
    <t>Re: Propuesta de concierto – Eñe Mayúscula (covers rock/pop en español) para Dime Que Me Quieres</t>
  </si>
  <si>
    <t>Buenos días,
Aquí, Carlos, Bravo, programador de la sala. Te dejo mi teléfono, por favor
escribe un WhatsApp y te paso toda la información por ahí y fechas libres:
677606742
Un saludo
El El lun, 4 may 2026 a las 15:32, info@dimequemequieresbardecopas.com &lt;
info@dimequemequieresbardecopas.com&gt; escribió:
&gt;
&gt;</t>
  </si>
  <si>
    <t>19df706b5a19b26b</t>
  </si>
  <si>
    <t>RE: Propuesta musical para Catering / eventos / partners – Eñe Mayúscula (covers rock/pop en español)</t>
  </si>
  <si>
    <t>19df7028522e3d6c</t>
  </si>
  <si>
    <t>RE: Propuesta musical para Unidad de servicios culturales y ocio comunitario – Eñe Mayúscula (covers rock/pop en español)</t>
  </si>
  <si>
    <t>19df3adbe53c58ce</t>
  </si>
  <si>
    <t>Re: Propuesta de concierto – Eñe Mayúscula (covers rock/pop en español) para El Rincón de Elvis</t>
  </si>
  <si>
    <t>19df361aebe2b86f</t>
  </si>
  <si>
    <t>info@cienporcienmadrid.es</t>
  </si>
  <si>
    <t>info</t>
  </si>
  <si>
    <t>RE: Propuesta de concierto – Eñe Mayúscula (covers rock/pop en español) para Cien por Cien</t>
  </si>
  <si>
    <t>Hola.Manda la información a conciertos@cienporcienmadrid.es La ve Cesar el programador. Gracias Saludos Enviado desde mi Galaxy</t>
  </si>
  <si>
    <t>19df465bbaaad370</t>
  </si>
  <si>
    <t>postmaster@paracuellosdejarama.es</t>
  </si>
  <si>
    <t>Undeliverable: Propuesta musical para Festejos – Eñe Mayúscula (covers rock/pop en español)</t>
  </si>
  <si>
    <t>[https://products.office.com/en-us/CMSImages/Office365Logo_Orange.png?version=b8d100a9-0a8b-8e6a-88e1-ef488fee0470]
Your message to am.rodriguez@paracuellosdejarama.es couldn't be delivered.
am.rodriguez wasn't found at paracuellosdejarama.es.
enhemayuscula   Office 365      am.rodriguez
Action Required                 Recipient
Unknown To address
How to Fix It
The address may be misspelled</t>
  </si>
  <si>
    <t>19df464fc745b837</t>
  </si>
  <si>
    <t>mailer-daemon@googlemail.com</t>
  </si>
  <si>
    <t>Mail Delivery Subsystem</t>
  </si>
  <si>
    <t>Delivery Status Notification (Failure)</t>
  </si>
  <si>
    <t>** Message not delivered **
Your message couldn't be delivered to hola@eligetushow.es because the remote server is misconfigured. See technical details below for more information.
The response from the remote server was:
554 5.7.1 &lt;hola@eligetushow.es&gt;: Relay access denied
Final-Recipient: rfc822; hola@eligetushow.es
Action: failed
Status: 5.7.1
Remote-MTA: dns; mail.eligetushow.es. (185.22</t>
  </si>
  <si>
    <t>19df464b4ab3f543</t>
  </si>
  <si>
    <t xml:space="preserve">** Address not found **
Your message wasn't delivered to contacto@eventbase.es because the address couldn't be found, or is unable to receive mail.
Learn more here: https://postmaster.1und1.de/en/case?c=r1601&amp;i=ip&amp;v=209.85.216.42&amp;r=1N0Hgn-1vQVjG1WYZ-00qsvc
(Warning: This link will take you to a third-party site)
The response from the remote server was:
550 Requested action not taken: mailbox </t>
  </si>
  <si>
    <t>19dfc54ed50a2fc4</t>
  </si>
  <si>
    <t>juanmora@cadavraclub.com</t>
  </si>
  <si>
    <t>Juan Mora</t>
  </si>
  <si>
    <t>Fwd: Propuesta de concierto – Eñe Mayúscula (covers rock/pop en español) para Cadavra Club</t>
  </si>
  <si>
    <t>Buenos días
Gracias por contactarnos pero no tenemos fechas disponibles hasta septiembre.
Adjunto condiciones y rider de la sala. 
Un saludo
&gt; Inicio del mensaje reenviado:
&gt; 
&gt; De: Contacto General &lt;hello@cadavraclub.com&gt;
&gt; Asunto: Fwd: Propuesta de concierto – Eñe Mayúscula (covers rock/pop en español) para Cadavra Club
&gt; Fecha: 5 de mayo de 2026, 9:31:11 CEST
&gt; Para: Juan Mora &lt;juanmor</t>
  </si>
  <si>
    <t>19dfc8010f437a3f</t>
  </si>
  <si>
    <t>Re: Propuesta de concierto – Eñe Mayúscula (covers rock/pop en español) para Fun House Music Club</t>
  </si>
  <si>
    <t>19dfe3d8e238c2be</t>
  </si>
  <si>
    <t>jsilvan@leganes.org</t>
  </si>
  <si>
    <t>Silván Minaya, Jesús</t>
  </si>
  <si>
    <t>RV: Propuesta de concierto – Eñe Mayúscula (covers rock/pop en español) para Sala Mandala / Dejóvenes Leganés</t>
  </si>
  <si>
    <t>Hola grupo,
Entiendo que lo que buscáis son salas donde actuar, no?
Primer tema, sois algunx de Leganés (residir, estudiar, trabajar…)??
Somos la Delegación de Juventud del Ayto. de Leganés, una delegación “pequeña”,  trabajamos la Participación, Creatividad, ayudar a desarrollar iniciativas, eventos, etc…. pero literalmente suele ser por Amor al Arte por lo que la palabra “caché” no solemos ni</t>
  </si>
  <si>
    <t>19e01619a3786149</t>
  </si>
  <si>
    <t>Re: Propuesta de concierto – Eñe Mayúscula (covers rock/pop en español) para Cien por Cien</t>
  </si>
  <si>
    <t>19e01e0a4a608025</t>
  </si>
  <si>
    <t>programacion@cafelapalma.com</t>
  </si>
  <si>
    <t>Programacion Cafe La Palma</t>
  </si>
  <si>
    <t>RE: Propuesta de concierto – Eñe Mayúscula (covers rock/pop en español) para Café La Palma</t>
  </si>
  <si>
    <t>Hola!
Aquí Felipe, programador de la sala! Encantado y gracias por escribir
Podríamos tener alguna fecha en julio. ¿Me decís y avanzamos?
Gracias!
Felipe Martínez
Programacion Café La Palma
Café La Palma
Palma, 62. 28015. Madrid.
Tel: 646 841 129 // 91 522 5031
 &lt;https://www.cafelapalma.com/&gt; https://www.cafelapalma.com
 &lt;mailto:programacion@cafelapalma.com&gt; programacion@c</t>
  </si>
  <si>
    <t>Modo</t>
  </si>
  <si>
    <t>IMPORTAR RESPUESTAS GMAIL</t>
  </si>
  <si>
    <t>Respuestas detectadas</t>
  </si>
  <si>
    <t>Filas actualizadas en CRM</t>
  </si>
  <si>
    <t>Sin coincidencia en CRM</t>
  </si>
  <si>
    <t>Ya importadas anteriormente</t>
  </si>
  <si>
    <t>Importación terminada. Revisar CRM_GENERAL y RESPUESTAS_GMAIL.</t>
  </si>
  <si>
    <t>Última actualización</t>
  </si>
  <si>
    <t>ETIQUETADO AUTOMÁTICO GMAIL</t>
  </si>
  <si>
    <t>Etiquetados como Salas</t>
  </si>
  <si>
    <t>Etiquetados como Eventos/Bodas/Festejos</t>
  </si>
  <si>
    <t>Sin clasificar</t>
  </si>
  <si>
    <t>Etiquetado terminado. Revisa Gmail.</t>
  </si>
  <si>
    <t>Automatización etiquetas</t>
  </si>
  <si>
    <t>Trigger creado. Gmail se revisará automáticamente cada hora.</t>
  </si>
  <si>
    <t>Automatización CRM</t>
  </si>
  <si>
    <t>Trigger creado. Las respuestas se importarán al CRM cada hora.</t>
  </si>
  <si>
    <t>Función automática</t>
  </si>
  <si>
    <t>IMPORTAR_RESPUESTAS_GMAIL</t>
  </si>
  <si>
    <t>DOSSIER CRM</t>
  </si>
  <si>
    <t>Columnas de dossier creadas en CRM_GENERAL y plantillas creadas.</t>
  </si>
  <si>
    <t>Hoja creada</t>
  </si>
  <si>
    <t>PLANTILLAS_DOSSIER</t>
  </si>
  <si>
    <t>Emails enviados</t>
  </si>
  <si>
    <t>No se ha enviado nada.</t>
  </si>
  <si>
    <t>DOSSIER AUTOMÁTICO</t>
  </si>
  <si>
    <t>Candidatos detectados</t>
  </si>
  <si>
    <t>Borradores creados</t>
  </si>
  <si>
    <t>Filas saltadas</t>
  </si>
  <si>
    <t>Errores</t>
  </si>
  <si>
    <t>Borradores de dossier creados. Revisar Gmail &gt; Borradores.</t>
  </si>
  <si>
    <t>DASHBOARD CRM MAESTRO</t>
  </si>
  <si>
    <t>Total contactos</t>
  </si>
  <si>
    <t>Enviados</t>
  </si>
  <si>
    <t>Pendientes / no enviado</t>
  </si>
  <si>
    <t>Respondidos</t>
  </si>
  <si>
    <t>Interés alto</t>
  </si>
  <si>
    <t>Interés medio</t>
  </si>
  <si>
    <t>No interesa</t>
  </si>
  <si>
    <t>Próximas acciones</t>
  </si>
  <si>
    <t>Nota</t>
  </si>
  <si>
    <t>Este maestro solo controla seguimiento; no envía emails.</t>
  </si>
  <si>
    <t>INSTRUCCIONES</t>
  </si>
  <si>
    <t>1</t>
  </si>
  <si>
    <t>Pega las URLs de los dos Google Sheets origen en CONFIG!B2 y CONFIG!B3.</t>
  </si>
  <si>
    <t>2</t>
  </si>
  <si>
    <t>Extensiones &gt; Apps Script &gt; pega el script CRM_MAESTRO_v2.</t>
  </si>
  <si>
    <t>3</t>
  </si>
  <si>
    <t>Ejecuta PREPARAR_MAESTRO().</t>
  </si>
  <si>
    <t>4</t>
  </si>
  <si>
    <t>Ejecuta IMPORTAR_TODO().</t>
  </si>
  <si>
    <t>5</t>
  </si>
  <si>
    <t>Trabaja solo en CRM_GENERAL para seguimiento.</t>
  </si>
  <si>
    <t>Importante</t>
  </si>
  <si>
    <t>El archivo maestro no envía emails y no modifica los envíos ya realizados.</t>
  </si>
  <si>
    <t>Columnas distintas</t>
  </si>
  <si>
    <t>La hoja de salas puede tener menos columnas: el script completa las columnas de seguimiento en CRM_GENERAL.</t>
  </si>
  <si>
    <t>Conservación</t>
  </si>
  <si>
    <t>Si vuelves a importar, el script conserva respuestas, condiciones, próximas acciones y notas usando ClaveCRM.</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</si>
</sst>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d/mm/yyyy hh:mm"/>
    <numFmt numFmtId="166" formatCode="m/d/yyyy h:mm:ss"/>
  </numFmts>
  <fonts count="9">
    <font>
      <sz val="11.0"/>
      <color rgb="FF000000"/>
      <name val="Carlito"/>
      <scheme val="minor"/>
    </font>
    <font>
      <b/>
      <sz val="11.0"/>
      <color rgb="FFFFFFFF"/>
      <name val="Carlito"/>
    </font>
    <font>
      <b/>
      <color theme="1"/>
      <name val="Carlito"/>
      <scheme val="minor"/>
    </font>
    <font>
      <u/>
      <color rgb="FF0000FF"/>
    </font>
    <font>
      <color theme="1"/>
      <name val="Carlito"/>
      <scheme val="minor"/>
    </font>
    <font>
      <sz val="11.0"/>
      <color theme="1"/>
      <name val="Carlito"/>
    </font>
    <font>
      <u/>
      <sz val="11.0"/>
      <color rgb="FF0000FF"/>
      <name val="Carlito"/>
    </font>
    <font>
      <u/>
      <color rgb="FF0000FF"/>
    </font>
    <font>
      <b/>
      <color rgb="FFFFFFFF"/>
      <name val="Carlito"/>
      <scheme val="minor"/>
    </font>
  </fonts>
  <fills count="3">
    <fill>
      <patternFill patternType="none"/>
    </fill>
    <fill>
      <patternFill patternType="lightGray"/>
    </fill>
    <fill>
      <patternFill patternType="solid">
        <fgColor rgb="FF1F4E78"/>
        <bgColor rgb="FF1F4E78"/>
      </patternFill>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2" fontId="1" numFmtId="0" xfId="0" applyFill="1" applyFont="1"/>
    <xf borderId="0" fillId="0" fontId="2" numFmtId="0" xfId="0" applyFont="1"/>
    <xf borderId="0" fillId="0" fontId="3" numFmtId="0" xfId="0" applyAlignment="1" applyFont="1">
      <alignment readingOrder="0"/>
    </xf>
    <xf borderId="0" fillId="0" fontId="4" numFmtId="0" xfId="0" applyFont="1"/>
    <xf borderId="0" fillId="0" fontId="4" numFmtId="14" xfId="0" applyAlignment="1" applyFont="1" applyNumberFormat="1">
      <alignment readingOrder="0"/>
    </xf>
    <xf borderId="0" fillId="0" fontId="4" numFmtId="0" xfId="0" applyAlignment="1" applyFont="1">
      <alignment readingOrder="0"/>
    </xf>
    <xf borderId="0" fillId="0" fontId="2" numFmtId="0" xfId="0" applyAlignment="1" applyFont="1">
      <alignment readingOrder="0"/>
    </xf>
    <xf borderId="0" fillId="2" fontId="1" numFmtId="0" xfId="0" applyAlignment="1" applyFont="1">
      <alignment shrinkToFit="0" wrapText="1"/>
    </xf>
    <xf borderId="0" fillId="2" fontId="1" numFmtId="0" xfId="0" applyAlignment="1" applyFont="1">
      <alignment readingOrder="0" shrinkToFit="0" wrapText="1"/>
    </xf>
    <xf borderId="0" fillId="0" fontId="5" numFmtId="0" xfId="0" applyAlignment="1" applyFont="1">
      <alignment readingOrder="0" shrinkToFit="0" wrapText="1"/>
    </xf>
    <xf borderId="0" fillId="0" fontId="5" numFmtId="0" xfId="0" applyAlignment="1" applyFont="1">
      <alignment shrinkToFit="0" wrapText="1"/>
    </xf>
    <xf borderId="0" fillId="0" fontId="6" numFmtId="0" xfId="0" applyAlignment="1" applyFont="1">
      <alignment readingOrder="0" shrinkToFit="0" wrapText="1"/>
    </xf>
    <xf borderId="0" fillId="0" fontId="5" numFmtId="164" xfId="0" applyAlignment="1" applyFont="1" applyNumberFormat="1">
      <alignment readingOrder="0" shrinkToFit="0" wrapText="1"/>
    </xf>
    <xf borderId="0" fillId="0" fontId="5" numFmtId="164" xfId="0" applyAlignment="1" applyFont="1" applyNumberFormat="1">
      <alignment shrinkToFit="0" wrapText="1"/>
    </xf>
    <xf borderId="0" fillId="0" fontId="5" numFmtId="165" xfId="0" applyAlignment="1" applyFont="1" applyNumberFormat="1">
      <alignment readingOrder="0" shrinkToFit="0" wrapText="1"/>
    </xf>
    <xf borderId="0" fillId="0" fontId="4" numFmtId="0" xfId="0" applyAlignment="1" applyFont="1">
      <alignment readingOrder="0" shrinkToFit="0" wrapText="1"/>
    </xf>
    <xf borderId="0" fillId="0" fontId="4" numFmtId="0" xfId="0" applyAlignment="1" applyFont="1">
      <alignment shrinkToFit="0" wrapText="1"/>
    </xf>
    <xf borderId="0" fillId="0" fontId="7" numFmtId="0" xfId="0" applyAlignment="1" applyFont="1">
      <alignment readingOrder="0" shrinkToFit="0" wrapText="1"/>
    </xf>
    <xf borderId="0" fillId="0" fontId="4" numFmtId="164" xfId="0" applyAlignment="1" applyFont="1" applyNumberFormat="1">
      <alignment readingOrder="0" shrinkToFit="0" wrapText="1"/>
    </xf>
    <xf borderId="0" fillId="0" fontId="4" numFmtId="164" xfId="0" applyAlignment="1" applyFont="1" applyNumberFormat="1">
      <alignment shrinkToFit="0" wrapText="1"/>
    </xf>
    <xf borderId="0" fillId="0" fontId="4" numFmtId="165" xfId="0" applyAlignment="1" applyFont="1" applyNumberFormat="1">
      <alignment readingOrder="0" shrinkToFit="0" wrapText="1"/>
    </xf>
    <xf borderId="0" fillId="0" fontId="4" numFmtId="164" xfId="0" applyAlignment="1" applyFont="1" applyNumberFormat="1">
      <alignment readingOrder="0"/>
    </xf>
    <xf borderId="0" fillId="0" fontId="4" numFmtId="166" xfId="0" applyAlignment="1" applyFont="1" applyNumberFormat="1">
      <alignment readingOrder="0"/>
    </xf>
    <xf borderId="0" fillId="0" fontId="4" numFmtId="0" xfId="0" applyAlignment="1" applyFont="1">
      <alignment readingOrder="0"/>
    </xf>
    <xf borderId="0" fillId="2" fontId="8" numFmtId="0" xfId="0" applyAlignment="1" applyFont="1">
      <alignment readingOrder="0"/>
    </xf>
    <xf borderId="0" fillId="2" fontId="8" numFmtId="0" xfId="0" applyFont="1"/>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fmddRf1KuDXD0XFWUpql3JFZHh0tJ1Dd8LnlrhGG1Ps/edit?gid=415989545" TargetMode="External"/><Relationship Id="rId2" Type="http://schemas.openxmlformats.org/officeDocument/2006/relationships/hyperlink" Target="https://docs.google.com/spreadsheets/d/1bku9oh9jP3MUz1FNbizlKDZBeqJrF1ZHtKT-TjEqAB8/edit?gid=511874214" TargetMode="External"/><Relationship Id="rId3" Type="http://schemas.openxmlformats.org/officeDocument/2006/relationships/hyperlink" Target="https://drive.google.com/file/d/1K_fK7SkOFG0DQ6bx9y9x-rGZantFb-C6/view?usp=drive_link"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www.leganes.org/" TargetMode="External"/><Relationship Id="rId190" Type="http://schemas.openxmlformats.org/officeDocument/2006/relationships/hyperlink" Target="https://madridenvivo.com/sala/elefante-blanco/" TargetMode="External"/><Relationship Id="rId42" Type="http://schemas.openxmlformats.org/officeDocument/2006/relationships/hyperlink" Target="https://www.esmadrid.com/agenda/sanisidro-madrid" TargetMode="External"/><Relationship Id="rId41" Type="http://schemas.openxmlformats.org/officeDocument/2006/relationships/hyperlink" Target="https://www.esmadrid.com/agenda/sanisidro-madrid" TargetMode="External"/><Relationship Id="rId44" Type="http://schemas.openxmlformats.org/officeDocument/2006/relationships/hyperlink" Target="https://www.mejoradadelcampo.es/concejal%C3%ADa-de-educaci%C3%B3n-y-cultura/-/asset_publisher/qHhhQF6bqBkk/content/id/120820" TargetMode="External"/><Relationship Id="rId194" Type="http://schemas.openxmlformats.org/officeDocument/2006/relationships/hyperlink" Target="https://www.facebook.com/espaciometropolis/?locale=es_ES" TargetMode="External"/><Relationship Id="rId43" Type="http://schemas.openxmlformats.org/officeDocument/2006/relationships/hyperlink" Target="https://www.mejoradadelcampo.es/concejal%C3%ADa-de-educaci%C3%B3n-y-cultura/-/asset_publisher/qHhhQF6bqBkk/content/id/120820" TargetMode="External"/><Relationship Id="rId193" Type="http://schemas.openxmlformats.org/officeDocument/2006/relationships/hyperlink" Target="https://espaciometropolis.com/" TargetMode="External"/><Relationship Id="rId46" Type="http://schemas.openxmlformats.org/officeDocument/2006/relationships/hyperlink" Target="https://www.mostoles.es/es" TargetMode="External"/><Relationship Id="rId192" Type="http://schemas.openxmlformats.org/officeDocument/2006/relationships/hyperlink" Target="https://www.facebook.com/ernestospubviejabanda/" TargetMode="External"/><Relationship Id="rId45" Type="http://schemas.openxmlformats.org/officeDocument/2006/relationships/hyperlink" Target="https://www.mostoles.es/es" TargetMode="External"/><Relationship Id="rId191" Type="http://schemas.openxmlformats.org/officeDocument/2006/relationships/hyperlink" Target="https://www.facebook.com/ernestospubviejabanda/" TargetMode="External"/><Relationship Id="rId48" Type="http://schemas.openxmlformats.org/officeDocument/2006/relationships/hyperlink" Target="https://paracuellosdejarama.es/sites/default/files/repositorio-archivos/carta_de_servicios___festejos.pdf" TargetMode="External"/><Relationship Id="rId187" Type="http://schemas.openxmlformats.org/officeDocument/2006/relationships/hyperlink" Target="https://salaelsotano.com/" TargetMode="External"/><Relationship Id="rId47" Type="http://schemas.openxmlformats.org/officeDocument/2006/relationships/hyperlink" Target="https://paracuellosdejarama.es/sites/default/files/repositorio-archivos/carta_de_servicios___festejos.pdf" TargetMode="External"/><Relationship Id="rId186" Type="http://schemas.openxmlformats.org/officeDocument/2006/relationships/hyperlink" Target="https://www.elrincondeelvis.es/contacto/" TargetMode="External"/><Relationship Id="rId185" Type="http://schemas.openxmlformats.org/officeDocument/2006/relationships/hyperlink" Target="https://www.elrincondeelvis.es/contacto/" TargetMode="External"/><Relationship Id="rId49" Type="http://schemas.openxmlformats.org/officeDocument/2006/relationships/hyperlink" Target="https://www.ayto-peralestajuna.org/actualidad/programa-de-fiestas-patronales-2025" TargetMode="External"/><Relationship Id="rId184" Type="http://schemas.openxmlformats.org/officeDocument/2006/relationships/hyperlink" Target="https://madridenvivo.com/sala/el-perro-club/" TargetMode="External"/><Relationship Id="rId189" Type="http://schemas.openxmlformats.org/officeDocument/2006/relationships/hyperlink" Target="https://madridenvivo.com/sala/elefante-blanco/" TargetMode="External"/><Relationship Id="rId188" Type="http://schemas.openxmlformats.org/officeDocument/2006/relationships/hyperlink" Target="https://madridenvivo.com/sala/el-sotano/" TargetMode="External"/><Relationship Id="rId31" Type="http://schemas.openxmlformats.org/officeDocument/2006/relationships/hyperlink" Target="https://www.getafe.es/" TargetMode="External"/><Relationship Id="rId30" Type="http://schemas.openxmlformats.org/officeDocument/2006/relationships/hyperlink" Target="https://galapagar.es/tramites/3-7-juventud-y-festejos/3-7-3-inscripcion-en-el-registro-de-penas-y-asociaciones/" TargetMode="External"/><Relationship Id="rId33" Type="http://schemas.openxmlformats.org/officeDocument/2006/relationships/hyperlink" Target="https://www.guadalajara.es/" TargetMode="External"/><Relationship Id="rId183" Type="http://schemas.openxmlformats.org/officeDocument/2006/relationships/hyperlink" Target="https://elperroclub.com/" TargetMode="External"/><Relationship Id="rId32" Type="http://schemas.openxmlformats.org/officeDocument/2006/relationships/hyperlink" Target="https://www.getafe.es/" TargetMode="External"/><Relationship Id="rId182" Type="http://schemas.openxmlformats.org/officeDocument/2006/relationships/hyperlink" Target="https://www.facebook.com/barrioderivas/" TargetMode="External"/><Relationship Id="rId35" Type="http://schemas.openxmlformats.org/officeDocument/2006/relationships/hyperlink" Target="https://www.hoyodemanzanares.es/festejos-y-participacion-ciudadana/" TargetMode="External"/><Relationship Id="rId181" Type="http://schemas.openxmlformats.org/officeDocument/2006/relationships/hyperlink" Target="https://www.facebook.com/barrioderivas/" TargetMode="External"/><Relationship Id="rId34" Type="http://schemas.openxmlformats.org/officeDocument/2006/relationships/hyperlink" Target="https://www.guadalajara.es/" TargetMode="External"/><Relationship Id="rId180" Type="http://schemas.openxmlformats.org/officeDocument/2006/relationships/hyperlink" Target="https://www.diodon.es/" TargetMode="External"/><Relationship Id="rId37" Type="http://schemas.openxmlformats.org/officeDocument/2006/relationships/hyperlink" Target="https://ayto-humanesdemadrid.es/abierto-el-plazo-para-participar-en-la-i-ruta-del-cucharon-saborea-humanes/" TargetMode="External"/><Relationship Id="rId176" Type="http://schemas.openxmlformats.org/officeDocument/2006/relationships/hyperlink" Target="https://dimequemequieresbardecopas.com/" TargetMode="External"/><Relationship Id="rId36" Type="http://schemas.openxmlformats.org/officeDocument/2006/relationships/hyperlink" Target="https://www.hoyodemanzanares.es/festejos-y-participacion-ciudadana/" TargetMode="External"/><Relationship Id="rId175" Type="http://schemas.openxmlformats.org/officeDocument/2006/relationships/hyperlink" Target="https://cultura.getafe.es/contacto/" TargetMode="External"/><Relationship Id="rId39" Type="http://schemas.openxmlformats.org/officeDocument/2006/relationships/hyperlink" Target="https://www.leganes.org/" TargetMode="External"/><Relationship Id="rId174" Type="http://schemas.openxmlformats.org/officeDocument/2006/relationships/hyperlink" Target="https://cultura.getafe.es/contacto/" TargetMode="External"/><Relationship Id="rId38" Type="http://schemas.openxmlformats.org/officeDocument/2006/relationships/hyperlink" Target="https://ayto-humanesdemadrid.es/abierto-el-plazo-para-participar-en-la-i-ruta-del-cucharon-saborea-humanes/" TargetMode="External"/><Relationship Id="rId173" Type="http://schemas.openxmlformats.org/officeDocument/2006/relationships/hyperlink" Target="https://coolturecafe.es/" TargetMode="External"/><Relationship Id="rId179" Type="http://schemas.openxmlformats.org/officeDocument/2006/relationships/hyperlink" Target="https://www.diodon.es/" TargetMode="External"/><Relationship Id="rId178" Type="http://schemas.openxmlformats.org/officeDocument/2006/relationships/hyperlink" Target="mailto:carlvravo@gmail.com" TargetMode="External"/><Relationship Id="rId177" Type="http://schemas.openxmlformats.org/officeDocument/2006/relationships/hyperlink" Target="https://madridenvivo.com/sala/dime-que-me-quieres/" TargetMode="External"/><Relationship Id="rId20" Type="http://schemas.openxmlformats.org/officeDocument/2006/relationships/hyperlink" Target="https://cadenaser.com/cmadrid/2025/09/12/ciempozuelos-confirma-que-tendra-actuacion-de-la-orquesta-panorama-en-2026-ser-madrid-sur/" TargetMode="External"/><Relationship Id="rId22" Type="http://schemas.openxmlformats.org/officeDocument/2006/relationships/hyperlink" Target="https://www.colladovillalba.es/es/concejalias/cultura/" TargetMode="External"/><Relationship Id="rId21" Type="http://schemas.openxmlformats.org/officeDocument/2006/relationships/hyperlink" Target="https://www.colladovillalba.es/es/concejalias/cultura/" TargetMode="External"/><Relationship Id="rId24" Type="http://schemas.openxmlformats.org/officeDocument/2006/relationships/hyperlink" Target="https://www.colladovillalba.es/es/concejalias/festejos/" TargetMode="External"/><Relationship Id="rId23" Type="http://schemas.openxmlformats.org/officeDocument/2006/relationships/hyperlink" Target="https://www.colladovillalba.es/es/concejalias/festejos/" TargetMode="External"/><Relationship Id="rId26" Type="http://schemas.openxmlformats.org/officeDocument/2006/relationships/hyperlink" Target="https://elresurgirdemadrid.com/fiesta-de-la-maya-de-colmenar-viejo-2026/" TargetMode="External"/><Relationship Id="rId25" Type="http://schemas.openxmlformats.org/officeDocument/2006/relationships/hyperlink" Target="https://elresurgirdemadrid.com/fiesta-de-la-maya-de-colmenar-viejo-2026/" TargetMode="External"/><Relationship Id="rId28" Type="http://schemas.openxmlformats.org/officeDocument/2006/relationships/hyperlink" Target="https://www.ayto-fuenlabrada.es/concejalias-cultura" TargetMode="External"/><Relationship Id="rId27" Type="http://schemas.openxmlformats.org/officeDocument/2006/relationships/hyperlink" Target="https://www.ayto-fuenlabrada.es/concejalias-cultura" TargetMode="External"/><Relationship Id="rId29" Type="http://schemas.openxmlformats.org/officeDocument/2006/relationships/hyperlink" Target="https://galapagar.es/tramites/3-7-juventud-y-festejos/3-7-3-inscripcion-en-el-registro-de-penas-y-asociaciones/" TargetMode="External"/><Relationship Id="rId11" Type="http://schemas.openxmlformats.org/officeDocument/2006/relationships/hyperlink" Target="https://www.ayto-alcorcon.es/" TargetMode="External"/><Relationship Id="rId10" Type="http://schemas.openxmlformats.org/officeDocument/2006/relationships/hyperlink" Target="https://www.ayto-alcaladehenares.es/" TargetMode="External"/><Relationship Id="rId13" Type="http://schemas.openxmlformats.org/officeDocument/2006/relationships/hyperlink" Target="https://www.ambite.es/actualidad/prograa-de-fiestas-patronales-2026" TargetMode="External"/><Relationship Id="rId12" Type="http://schemas.openxmlformats.org/officeDocument/2006/relationships/hyperlink" Target="https://www.ayto-alcorcon.es/" TargetMode="External"/><Relationship Id="rId15" Type="http://schemas.openxmlformats.org/officeDocument/2006/relationships/hyperlink" Target="https://www.ayuntamientoboadilladelmonte.org/ayuntamiento/composicion-y-organizacion-municipal/directorio-municipal" TargetMode="External"/><Relationship Id="rId198" Type="http://schemas.openxmlformats.org/officeDocument/2006/relationships/hyperlink" Target="https://madridenvivo.com/sala/fulanita-de-tal/" TargetMode="External"/><Relationship Id="rId14" Type="http://schemas.openxmlformats.org/officeDocument/2006/relationships/hyperlink" Target="https://www.ambite.es/actualidad/prograa-de-fiestas-patronales-2026" TargetMode="External"/><Relationship Id="rId197" Type="http://schemas.openxmlformats.org/officeDocument/2006/relationships/hyperlink" Target="https://fulanitadetal.com/" TargetMode="External"/><Relationship Id="rId17" Type="http://schemas.openxmlformats.org/officeDocument/2006/relationships/hyperlink" Target="https://www.ayuntamientoboadilladelmonte.org/boadilla-actualidad/convocatorias/servicio-de-medio-ambiente-festejos-y-deportes" TargetMode="External"/><Relationship Id="rId196" Type="http://schemas.openxmlformats.org/officeDocument/2006/relationships/hyperlink" Target="https://www.getafejoven.com/casajuv-musica" TargetMode="External"/><Relationship Id="rId16" Type="http://schemas.openxmlformats.org/officeDocument/2006/relationships/hyperlink" Target="https://www.ayuntamientoboadilladelmonte.org/ayuntamiento/composicion-y-organizacion-municipal/directorio-municipal" TargetMode="External"/><Relationship Id="rId195" Type="http://schemas.openxmlformats.org/officeDocument/2006/relationships/hyperlink" Target="https://www.getafejoven.com/casajuv-musica" TargetMode="External"/><Relationship Id="rId19" Type="http://schemas.openxmlformats.org/officeDocument/2006/relationships/hyperlink" Target="https://cadenaser.com/cmadrid/2025/09/12/ciempozuelos-confirma-que-tendra-actuacion-de-la-orquesta-panorama-en-2026-ser-madrid-sur/" TargetMode="External"/><Relationship Id="rId18" Type="http://schemas.openxmlformats.org/officeDocument/2006/relationships/hyperlink" Target="https://www.ayuntamientoboadilladelmonte.org/boadilla-actualidad/convocatorias/servicio-de-medio-ambiente-festejos-y-deportes" TargetMode="External"/><Relationship Id="rId199" Type="http://schemas.openxmlformats.org/officeDocument/2006/relationships/hyperlink" Target="https://funhousemusicbar.com/" TargetMode="External"/><Relationship Id="rId84" Type="http://schemas.openxmlformats.org/officeDocument/2006/relationships/hyperlink" Target="https://www.instagram.com/elitebodas/" TargetMode="External"/><Relationship Id="rId83" Type="http://schemas.openxmlformats.org/officeDocument/2006/relationships/hyperlink" Target="https://eligetushow.es/" TargetMode="External"/><Relationship Id="rId86" Type="http://schemas.openxmlformats.org/officeDocument/2006/relationships/hyperlink" Target="https://www.provenexpert.com/es-es/event-base-djs-para-bodas-y-eventos-madrid/" TargetMode="External"/><Relationship Id="rId85" Type="http://schemas.openxmlformats.org/officeDocument/2006/relationships/hyperlink" Target="https://www.instagram.com/elitebodas/" TargetMode="External"/><Relationship Id="rId88" Type="http://schemas.openxmlformats.org/officeDocument/2006/relationships/hyperlink" Target="https://www.mice.es/3026-eventisimo" TargetMode="External"/><Relationship Id="rId150" Type="http://schemas.openxmlformats.org/officeDocument/2006/relationships/hyperlink" Target="https://cadillacsolitario.com/" TargetMode="External"/><Relationship Id="rId271" Type="http://schemas.openxmlformats.org/officeDocument/2006/relationships/hyperlink" Target="https://www.instagram.com/sala_stigma/" TargetMode="External"/><Relationship Id="rId87" Type="http://schemas.openxmlformats.org/officeDocument/2006/relationships/hyperlink" Target="https://www.provenexpert.com/es-es/event-base-djs-para-bodas-y-eventos-madrid/" TargetMode="External"/><Relationship Id="rId270" Type="http://schemas.openxmlformats.org/officeDocument/2006/relationships/hyperlink" Target="https://siroco.es/contacto/" TargetMode="External"/><Relationship Id="rId89" Type="http://schemas.openxmlformats.org/officeDocument/2006/relationships/hyperlink" Target="https://www.mice.es/3026-eventisimo" TargetMode="External"/><Relationship Id="rId80" Type="http://schemas.openxmlformats.org/officeDocument/2006/relationships/hyperlink" Target="https://www.doctormorgan.es/" TargetMode="External"/><Relationship Id="rId82" Type="http://schemas.openxmlformats.org/officeDocument/2006/relationships/hyperlink" Target="https://eligetushow.es/" TargetMode="External"/><Relationship Id="rId81" Type="http://schemas.openxmlformats.org/officeDocument/2006/relationships/hyperlink" Target="https://www.doctormorgan.es/" TargetMode="External"/><Relationship Id="rId1" Type="http://schemas.openxmlformats.org/officeDocument/2006/relationships/hyperlink" Target="https://www.4foreverything.com/contacto" TargetMode="External"/><Relationship Id="rId2" Type="http://schemas.openxmlformats.org/officeDocument/2006/relationships/hyperlink" Target="https://www.4foreverything.com/contacto" TargetMode="External"/><Relationship Id="rId3" Type="http://schemas.openxmlformats.org/officeDocument/2006/relationships/hyperlink" Target="https://www.absolute-eventos.com/contacto.html" TargetMode="External"/><Relationship Id="rId149" Type="http://schemas.openxmlformats.org/officeDocument/2006/relationships/hyperlink" Target="https://madridenvivo.com/sala/cadavra-club/" TargetMode="External"/><Relationship Id="rId4" Type="http://schemas.openxmlformats.org/officeDocument/2006/relationships/hyperlink" Target="https://www.absolute-eventos.com/contacto.html" TargetMode="External"/><Relationship Id="rId148" Type="http://schemas.openxmlformats.org/officeDocument/2006/relationships/hyperlink" Target="https://cadavraclub.com/" TargetMode="External"/><Relationship Id="rId269" Type="http://schemas.openxmlformats.org/officeDocument/2006/relationships/hyperlink" Target="https://siroco.es/contacto/" TargetMode="External"/><Relationship Id="rId9" Type="http://schemas.openxmlformats.org/officeDocument/2006/relationships/hyperlink" Target="https://www.ayto-alcaladehenares.es/" TargetMode="External"/><Relationship Id="rId143" Type="http://schemas.openxmlformats.org/officeDocument/2006/relationships/hyperlink" Target="https://madridenvivo.com/sala/big-mama-ballroom/" TargetMode="External"/><Relationship Id="rId264" Type="http://schemas.openxmlformats.org/officeDocument/2006/relationships/hyperlink" Target="https://www.dejovenesleganes.es/noticias/detalle/la-sala-mandala" TargetMode="External"/><Relationship Id="rId142" Type="http://schemas.openxmlformats.org/officeDocument/2006/relationships/hyperlink" Target="https://bigmamaswing.com/" TargetMode="External"/><Relationship Id="rId263" Type="http://schemas.openxmlformats.org/officeDocument/2006/relationships/hyperlink" Target="https://www.dejovenesleganes.es/noticias/detalle/la-sala-mandala" TargetMode="External"/><Relationship Id="rId141" Type="http://schemas.openxmlformats.org/officeDocument/2006/relationships/hyperlink" Target="https://madridenvivo.com/sala/beer-station/" TargetMode="External"/><Relationship Id="rId262" Type="http://schemas.openxmlformats.org/officeDocument/2006/relationships/hyperlink" Target="https://salajuglar.com/" TargetMode="External"/><Relationship Id="rId140" Type="http://schemas.openxmlformats.org/officeDocument/2006/relationships/hyperlink" Target="https://beerstation.com/" TargetMode="External"/><Relationship Id="rId261" Type="http://schemas.openxmlformats.org/officeDocument/2006/relationships/hyperlink" Target="https://salajuglar.com/" TargetMode="External"/><Relationship Id="rId5" Type="http://schemas.openxmlformats.org/officeDocument/2006/relationships/hyperlink" Target="https://www.absolu.to/contacto" TargetMode="External"/><Relationship Id="rId147" Type="http://schemas.openxmlformats.org/officeDocument/2006/relationships/hyperlink" Target="https://madridenvivo.com/sala/bule-bule/" TargetMode="External"/><Relationship Id="rId268" Type="http://schemas.openxmlformats.org/officeDocument/2006/relationships/hyperlink" Target="https://madridenvivo.com/sala/silikona/" TargetMode="External"/><Relationship Id="rId6" Type="http://schemas.openxmlformats.org/officeDocument/2006/relationships/hyperlink" Target="https://www.absolu.to/contacto" TargetMode="External"/><Relationship Id="rId146" Type="http://schemas.openxmlformats.org/officeDocument/2006/relationships/hyperlink" Target="https://bulebulemadrid.com/" TargetMode="External"/><Relationship Id="rId267" Type="http://schemas.openxmlformats.org/officeDocument/2006/relationships/hyperlink" Target="https://madridenvivo.com/sala/silikona/" TargetMode="External"/><Relationship Id="rId7" Type="http://schemas.openxmlformats.org/officeDocument/2006/relationships/hyperlink" Target="https://weddingplannerpedia.es/es-es/i/29-ana-cano-eventos-wedding-planner-madrid-organizador-de-bodas-y-eventos-event-planner/" TargetMode="External"/><Relationship Id="rId145" Type="http://schemas.openxmlformats.org/officeDocument/2006/relationships/hyperlink" Target="https://madridenvivo.com/sala/buho-real/" TargetMode="External"/><Relationship Id="rId266" Type="http://schemas.openxmlformats.org/officeDocument/2006/relationships/hyperlink" Target="https://madridenvivo.com/sala/sala-olvido/" TargetMode="External"/><Relationship Id="rId8" Type="http://schemas.openxmlformats.org/officeDocument/2006/relationships/hyperlink" Target="https://weddingplannerpedia.es/es-es/i/29-ana-cano-eventos-wedding-planner-madrid-organizador-de-bodas-y-eventos-event-planner/" TargetMode="External"/><Relationship Id="rId144" Type="http://schemas.openxmlformats.org/officeDocument/2006/relationships/hyperlink" Target="https://buhoreal.com/" TargetMode="External"/><Relationship Id="rId265" Type="http://schemas.openxmlformats.org/officeDocument/2006/relationships/hyperlink" Target="https://madridenvivo.com/sala/sala-olvido/" TargetMode="External"/><Relationship Id="rId73" Type="http://schemas.openxmlformats.org/officeDocument/2006/relationships/hyperlink" Target="http://contratarartistas.com" TargetMode="External"/><Relationship Id="rId72" Type="http://schemas.openxmlformats.org/officeDocument/2006/relationships/hyperlink" Target="https://www.celebrents.es/madrid/orquestas-cantantes-y-grupos/" TargetMode="External"/><Relationship Id="rId75" Type="http://schemas.openxmlformats.org/officeDocument/2006/relationships/hyperlink" Target="https://contratarartistas.com/ciudad/madrid-_1" TargetMode="External"/><Relationship Id="rId74" Type="http://schemas.openxmlformats.org/officeDocument/2006/relationships/hyperlink" Target="https://contratarartistas.com/ciudad/madrid-_1" TargetMode="External"/><Relationship Id="rId77" Type="http://schemas.openxmlformats.org/officeDocument/2006/relationships/hyperlink" Target="https://www.facebook.com/dilequesiweddingplanner/?locale=es_ES" TargetMode="External"/><Relationship Id="rId260" Type="http://schemas.openxmlformats.org/officeDocument/2006/relationships/hyperlink" Target="https://www.facebook.com/salainfernos/" TargetMode="External"/><Relationship Id="rId76" Type="http://schemas.openxmlformats.org/officeDocument/2006/relationships/hyperlink" Target="https://www.facebook.com/dilequesiweddingplanner/?locale=es_ES" TargetMode="External"/><Relationship Id="rId79" Type="http://schemas.openxmlformats.org/officeDocument/2006/relationships/hyperlink" Target="https://www.madrid.es/portales/munimadrid/es/Inicio/El-Ayuntamiento/Tetuan/Programacion-cultural-de-Tetuan/Actividades-en-el-Centro-Sociocultural-Tetuan/Telefonos-horarios-e-informacion-de-interes-Junta-de-Distrito-Tetuan/?vgnextchannel=65d3454ea1441910VgnVCM1000001d4a900aRCRD&amp;vgnextfmt=default&amp;vgnextoid=c33c3c89a18d5910VgnVCM1000001d4a900aRCRD" TargetMode="External"/><Relationship Id="rId78" Type="http://schemas.openxmlformats.org/officeDocument/2006/relationships/hyperlink" Target="https://www.madrid.es/portales/munimadrid/es/Inicio/El-Ayuntamiento/Tetuan/Programacion-cultural-de-Tetuan/Actividades-en-el-Centro-Sociocultural-Tetuan/Telefonos-horarios-e-informacion-de-interes-Junta-de-Distrito-Tetuan/?vgnextchannel=65d3454ea1441910VgnVCM1000001d4a900aRCRD&amp;vgnextfmt=default&amp;vgnextoid=c33c3c89a18d5910VgnVCM1000001d4a900aRCRD" TargetMode="External"/><Relationship Id="rId71" Type="http://schemas.openxmlformats.org/officeDocument/2006/relationships/hyperlink" Target="https://www.celebrents.es/madrid/orquestas-cantantes-y-grupos/" TargetMode="External"/><Relationship Id="rId70" Type="http://schemas.openxmlformats.org/officeDocument/2006/relationships/hyperlink" Target="https://beonworldwide.com/" TargetMode="External"/><Relationship Id="rId139" Type="http://schemas.openxmlformats.org/officeDocument/2006/relationships/hyperlink" Target="https://madridenvivo.com/sala/barracudas/" TargetMode="External"/><Relationship Id="rId138" Type="http://schemas.openxmlformats.org/officeDocument/2006/relationships/hyperlink" Target="https://madridenvivo.com/sala/barracudas/" TargetMode="External"/><Relationship Id="rId259" Type="http://schemas.openxmlformats.org/officeDocument/2006/relationships/hyperlink" Target="https://www.facebook.com/salainfernos/" TargetMode="External"/><Relationship Id="rId137" Type="http://schemas.openxmlformats.org/officeDocument/2006/relationships/hyperlink" Target="https://7rockbar.es/contacto" TargetMode="External"/><Relationship Id="rId258" Type="http://schemas.openxmlformats.org/officeDocument/2006/relationships/hyperlink" Target="https://salaelsol.com/contacto/" TargetMode="External"/><Relationship Id="rId132" Type="http://schemas.openxmlformats.org/officeDocument/2006/relationships/hyperlink" Target="https://whatevent.es/contacto/" TargetMode="External"/><Relationship Id="rId253" Type="http://schemas.openxmlformats.org/officeDocument/2006/relationships/hyperlink" Target="https://madridenvivo.com/sala/sala-b/" TargetMode="External"/><Relationship Id="rId131" Type="http://schemas.openxmlformats.org/officeDocument/2006/relationships/hyperlink" Target="https://mundolujo.es/madrid/organizadores-bodas-lujo/" TargetMode="External"/><Relationship Id="rId252" Type="http://schemas.openxmlformats.org/officeDocument/2006/relationships/hyperlink" Target="https://www.aperitoche.com/contacto/" TargetMode="External"/><Relationship Id="rId130" Type="http://schemas.openxmlformats.org/officeDocument/2006/relationships/hyperlink" Target="https://mundolujo.es/madrid/organizadores-bodas-lujo/" TargetMode="External"/><Relationship Id="rId251" Type="http://schemas.openxmlformats.org/officeDocument/2006/relationships/hyperlink" Target="https://www.aperitoche.com/contacto/" TargetMode="External"/><Relationship Id="rId250" Type="http://schemas.openxmlformats.org/officeDocument/2006/relationships/hyperlink" Target="https://fiestaismadrid.es/destalles-del-local/sala-numero-8/" TargetMode="External"/><Relationship Id="rId136" Type="http://schemas.openxmlformats.org/officeDocument/2006/relationships/hyperlink" Target="https://7rockbar.es/contacto" TargetMode="External"/><Relationship Id="rId257" Type="http://schemas.openxmlformats.org/officeDocument/2006/relationships/hyperlink" Target="https://salaelsol.com/contacto/" TargetMode="External"/><Relationship Id="rId135" Type="http://schemas.openxmlformats.org/officeDocument/2006/relationships/hyperlink" Target="https://whitelion.es/contacto/" TargetMode="External"/><Relationship Id="rId256" Type="http://schemas.openxmlformats.org/officeDocument/2006/relationships/hyperlink" Target="https://ego-live.com/" TargetMode="External"/><Relationship Id="rId134" Type="http://schemas.openxmlformats.org/officeDocument/2006/relationships/hyperlink" Target="https://whitelion.es/contacto/" TargetMode="External"/><Relationship Id="rId255" Type="http://schemas.openxmlformats.org/officeDocument/2006/relationships/hyperlink" Target="https://ego-live.com/" TargetMode="External"/><Relationship Id="rId133" Type="http://schemas.openxmlformats.org/officeDocument/2006/relationships/hyperlink" Target="https://whatevent.es/contacto/" TargetMode="External"/><Relationship Id="rId254" Type="http://schemas.openxmlformats.org/officeDocument/2006/relationships/hyperlink" Target="https://madridenvivo.com/sala/sala-b/" TargetMode="External"/><Relationship Id="rId62" Type="http://schemas.openxmlformats.org/officeDocument/2006/relationships/hyperlink" Target="https://www.toledo.es/" TargetMode="External"/><Relationship Id="rId61" Type="http://schemas.openxmlformats.org/officeDocument/2006/relationships/hyperlink" Target="https://www.toledo.es/" TargetMode="External"/><Relationship Id="rId64" Type="http://schemas.openxmlformats.org/officeDocument/2006/relationships/hyperlink" Target="https://www.ayto-torrejon.es/sites/default/files/Carta%20de%20Servicios%20Festejos%20dic25.pdf" TargetMode="External"/><Relationship Id="rId63" Type="http://schemas.openxmlformats.org/officeDocument/2006/relationships/hyperlink" Target="https://www.ayto-torrejon.es/sites/default/files/Carta%20de%20Servicios%20Festejos%20dic25.pdf" TargetMode="External"/><Relationship Id="rId66" Type="http://schemas.openxmlformats.org/officeDocument/2006/relationships/hyperlink" Target="https://cadenaser.com/cmadrid/2026/04/28/siempre-asi-seguridad-social-y-modestia-aparte-actuaran-en-las-fiestas-de-valdemoro-ser-madrid-sur/" TargetMode="External"/><Relationship Id="rId172" Type="http://schemas.openxmlformats.org/officeDocument/2006/relationships/hyperlink" Target="https://coolturecafe.es/" TargetMode="External"/><Relationship Id="rId65" Type="http://schemas.openxmlformats.org/officeDocument/2006/relationships/hyperlink" Target="https://cadenaser.com/cmadrid/2026/04/28/siempre-asi-seguridad-social-y-modestia-aparte-actuaran-en-las-fiestas-de-valdemoro-ser-madrid-sur/" TargetMode="External"/><Relationship Id="rId171" Type="http://schemas.openxmlformats.org/officeDocument/2006/relationships/hyperlink" Target="https://madridenvivo.com/sala/contraclub/" TargetMode="External"/><Relationship Id="rId68" Type="http://schemas.openxmlformats.org/officeDocument/2006/relationships/hyperlink" Target="https://www.vvapardillo.org/images/stories/festejos/2024/LIBRO_FIESTAS_SAN_LUCAS_2024.pdf" TargetMode="External"/><Relationship Id="rId170" Type="http://schemas.openxmlformats.org/officeDocument/2006/relationships/hyperlink" Target="https://contraclub.es/" TargetMode="External"/><Relationship Id="rId291" Type="http://schemas.openxmlformats.org/officeDocument/2006/relationships/drawing" Target="../drawings/drawing3.xml"/><Relationship Id="rId67" Type="http://schemas.openxmlformats.org/officeDocument/2006/relationships/hyperlink" Target="https://www.vvapardillo.org/images/stories/festejos/2024/LIBRO_FIESTAS_SAN_LUCAS_2024.pdf" TargetMode="External"/><Relationship Id="rId290" Type="http://schemas.openxmlformats.org/officeDocument/2006/relationships/hyperlink" Target="https://salavillanos.es/contacto-y-localizacion/" TargetMode="External"/><Relationship Id="rId60" Type="http://schemas.openxmlformats.org/officeDocument/2006/relationships/hyperlink" Target="https://www.comunidad.madrid/sites/default/files/doc/cultura/red_de_teatros_directorio_salas_2026.pdf" TargetMode="External"/><Relationship Id="rId165" Type="http://schemas.openxmlformats.org/officeDocument/2006/relationships/hyperlink" Target="https://www.juventudfuenla.com/" TargetMode="External"/><Relationship Id="rId286" Type="http://schemas.openxmlformats.org/officeDocument/2006/relationships/hyperlink" Target="https://thundercatclub.com/contacto/" TargetMode="External"/><Relationship Id="rId69" Type="http://schemas.openxmlformats.org/officeDocument/2006/relationships/hyperlink" Target="https://beonworldwide.com/" TargetMode="External"/><Relationship Id="rId164" Type="http://schemas.openxmlformats.org/officeDocument/2006/relationships/hyperlink" Target="https://www.juventudfuenla.com/" TargetMode="External"/><Relationship Id="rId285" Type="http://schemas.openxmlformats.org/officeDocument/2006/relationships/hyperlink" Target="https://thundercatclub.com/contacto/" TargetMode="External"/><Relationship Id="rId163" Type="http://schemas.openxmlformats.org/officeDocument/2006/relationships/hyperlink" Target="https://madridenvivo.com/sala/cardamomo/" TargetMode="External"/><Relationship Id="rId284" Type="http://schemas.openxmlformats.org/officeDocument/2006/relationships/hyperlink" Target="https://therocklabmadrid.com/" TargetMode="External"/><Relationship Id="rId162" Type="http://schemas.openxmlformats.org/officeDocument/2006/relationships/hyperlink" Target="https://cardamomo.com/" TargetMode="External"/><Relationship Id="rId283" Type="http://schemas.openxmlformats.org/officeDocument/2006/relationships/hyperlink" Target="https://therocklabmadrid.com/" TargetMode="External"/><Relationship Id="rId169" Type="http://schemas.openxmlformats.org/officeDocument/2006/relationships/hyperlink" Target="https://madridenvivo.com/sala/clamores/" TargetMode="External"/><Relationship Id="rId168" Type="http://schemas.openxmlformats.org/officeDocument/2006/relationships/hyperlink" Target="https://salaclamores.es/" TargetMode="External"/><Relationship Id="rId289" Type="http://schemas.openxmlformats.org/officeDocument/2006/relationships/hyperlink" Target="https://salavillanos.es/contacto-y-localizacion/" TargetMode="External"/><Relationship Id="rId167" Type="http://schemas.openxmlformats.org/officeDocument/2006/relationships/hyperlink" Target="https://madridenvivo.com/sala/cien-por-cien/" TargetMode="External"/><Relationship Id="rId288" Type="http://schemas.openxmlformats.org/officeDocument/2006/relationships/hyperlink" Target="https://tonysonlocales.com/" TargetMode="External"/><Relationship Id="rId166" Type="http://schemas.openxmlformats.org/officeDocument/2006/relationships/hyperlink" Target="https://cienporcienmadrid.es/" TargetMode="External"/><Relationship Id="rId287" Type="http://schemas.openxmlformats.org/officeDocument/2006/relationships/hyperlink" Target="https://tonysonlocales.com/" TargetMode="External"/><Relationship Id="rId51" Type="http://schemas.openxmlformats.org/officeDocument/2006/relationships/hyperlink" Target="https://www.pozuelodelrey.es/actualidad/fiestas-patronales-2025" TargetMode="External"/><Relationship Id="rId50" Type="http://schemas.openxmlformats.org/officeDocument/2006/relationships/hyperlink" Target="https://www.ayto-peralestajuna.org/actualidad/programa-de-fiestas-patronales-2025" TargetMode="External"/><Relationship Id="rId53" Type="http://schemas.openxmlformats.org/officeDocument/2006/relationships/hyperlink" Target="https://www.comunidad.madrid/sites/default/files/doc/cultura/red_de_teatros_directorio_salas_2026.pdf" TargetMode="External"/><Relationship Id="rId52" Type="http://schemas.openxmlformats.org/officeDocument/2006/relationships/hyperlink" Target="https://www.pozuelodelrey.es/actualidad/fiestas-patronales-2025" TargetMode="External"/><Relationship Id="rId55" Type="http://schemas.openxmlformats.org/officeDocument/2006/relationships/hyperlink" Target="https://www.comunidad.madrid/sites/default/files/doc/cultura/red_de_teatros_directorio_salas_2026.pdf" TargetMode="External"/><Relationship Id="rId161" Type="http://schemas.openxmlformats.org/officeDocument/2006/relationships/hyperlink" Target="https://madridenvivo.com/sala/candela/" TargetMode="External"/><Relationship Id="rId282" Type="http://schemas.openxmlformats.org/officeDocument/2006/relationships/hyperlink" Target="https://tempoclub.es/en/bookings/" TargetMode="External"/><Relationship Id="rId54" Type="http://schemas.openxmlformats.org/officeDocument/2006/relationships/hyperlink" Target="https://www.comunidad.madrid/sites/default/files/doc/cultura/red_de_teatros_directorio_salas_2026.pdf" TargetMode="External"/><Relationship Id="rId160" Type="http://schemas.openxmlformats.org/officeDocument/2006/relationships/hyperlink" Target="https://madridenvivo.com/sala/candela/" TargetMode="External"/><Relationship Id="rId281" Type="http://schemas.openxmlformats.org/officeDocument/2006/relationships/hyperlink" Target="https://tempoclub.es/en/bookings/" TargetMode="External"/><Relationship Id="rId57" Type="http://schemas.openxmlformats.org/officeDocument/2006/relationships/hyperlink" Target="https://www.ssreyes.org/" TargetMode="External"/><Relationship Id="rId280" Type="http://schemas.openxmlformats.org/officeDocument/2006/relationships/hyperlink" Target="https://madridenvivo.com/sala/shoko-live/" TargetMode="External"/><Relationship Id="rId56" Type="http://schemas.openxmlformats.org/officeDocument/2006/relationships/hyperlink" Target="https://www.comunidad.madrid/sites/default/files/doc/cultura/red_de_teatros_directorio_salas_2026.pdf" TargetMode="External"/><Relationship Id="rId159" Type="http://schemas.openxmlformats.org/officeDocument/2006/relationships/hyperlink" Target="https://madridenvivo.com/sala/cafe-la-palma/" TargetMode="External"/><Relationship Id="rId59" Type="http://schemas.openxmlformats.org/officeDocument/2006/relationships/hyperlink" Target="https://www.comunidad.madrid/sites/default/files/doc/cultura/red_de_teatros_directorio_salas_2026.pdf" TargetMode="External"/><Relationship Id="rId154" Type="http://schemas.openxmlformats.org/officeDocument/2006/relationships/hyperlink" Target="https://www.cafecentralmadrid.com/" TargetMode="External"/><Relationship Id="rId275" Type="http://schemas.openxmlformats.org/officeDocument/2006/relationships/hyperlink" Target="https://salavesta.com/" TargetMode="External"/><Relationship Id="rId58" Type="http://schemas.openxmlformats.org/officeDocument/2006/relationships/hyperlink" Target="https://www.ssreyes.org/" TargetMode="External"/><Relationship Id="rId153" Type="http://schemas.openxmlformats.org/officeDocument/2006/relationships/hyperlink" Target="https://madridenvivo.com/sala/cafe-berlin/" TargetMode="External"/><Relationship Id="rId274" Type="http://schemas.openxmlformats.org/officeDocument/2006/relationships/hyperlink" Target="https://salauni.es/" TargetMode="External"/><Relationship Id="rId152" Type="http://schemas.openxmlformats.org/officeDocument/2006/relationships/hyperlink" Target="https://cafeberlin.es/" TargetMode="External"/><Relationship Id="rId273" Type="http://schemas.openxmlformats.org/officeDocument/2006/relationships/hyperlink" Target="https://salauni.es/" TargetMode="External"/><Relationship Id="rId151" Type="http://schemas.openxmlformats.org/officeDocument/2006/relationships/hyperlink" Target="https://madridenvivo.com/sala/cadillac-solitario/" TargetMode="External"/><Relationship Id="rId272" Type="http://schemas.openxmlformats.org/officeDocument/2006/relationships/hyperlink" Target="https://www.instagram.com/sala_stigma/" TargetMode="External"/><Relationship Id="rId158" Type="http://schemas.openxmlformats.org/officeDocument/2006/relationships/hyperlink" Target="https://cafelapalma.com/" TargetMode="External"/><Relationship Id="rId279" Type="http://schemas.openxmlformats.org/officeDocument/2006/relationships/hyperlink" Target="https://shokomadrid.com/es/pages/contact" TargetMode="External"/><Relationship Id="rId157" Type="http://schemas.openxmlformats.org/officeDocument/2006/relationships/hyperlink" Target="https://madridenvivo.com/sala/cafe-el-despertar/" TargetMode="External"/><Relationship Id="rId278" Type="http://schemas.openxmlformats.org/officeDocument/2006/relationships/hyperlink" Target="https://www.saloonbarlafrontera.es/contacto/" TargetMode="External"/><Relationship Id="rId156" Type="http://schemas.openxmlformats.org/officeDocument/2006/relationships/hyperlink" Target="https://cafeeldespertar.com/" TargetMode="External"/><Relationship Id="rId277" Type="http://schemas.openxmlformats.org/officeDocument/2006/relationships/hyperlink" Target="https://www.saloonbarlafrontera.es/contacto/" TargetMode="External"/><Relationship Id="rId155" Type="http://schemas.openxmlformats.org/officeDocument/2006/relationships/hyperlink" Target="https://madridenvivo.com/sala/cafe-central/" TargetMode="External"/><Relationship Id="rId276" Type="http://schemas.openxmlformats.org/officeDocument/2006/relationships/hyperlink" Target="https://salavesta.com/" TargetMode="External"/><Relationship Id="rId107" Type="http://schemas.openxmlformats.org/officeDocument/2006/relationships/hyperlink" Target="https://pargonscp.com/" TargetMode="External"/><Relationship Id="rId228" Type="http://schemas.openxmlformats.org/officeDocument/2006/relationships/hyperlink" Target="https://mangatarivas.com/" TargetMode="External"/><Relationship Id="rId106" Type="http://schemas.openxmlformats.org/officeDocument/2006/relationships/hyperlink" Target="https://pargonscp.com/" TargetMode="External"/><Relationship Id="rId227" Type="http://schemas.openxmlformats.org/officeDocument/2006/relationships/hyperlink" Target="https://mangatarivas.com/" TargetMode="External"/><Relationship Id="rId105" Type="http://schemas.openxmlformats.org/officeDocument/2006/relationships/hyperlink" Target="https://marchapasaevents.com/alianzas-y-partners-de-confianza-en-madrid/" TargetMode="External"/><Relationship Id="rId226" Type="http://schemas.openxmlformats.org/officeDocument/2006/relationships/hyperlink" Target="https://www.lnkmsc.com/spaces/malamaluca/profile/" TargetMode="External"/><Relationship Id="rId104" Type="http://schemas.openxmlformats.org/officeDocument/2006/relationships/hyperlink" Target="https://marchapasaevents.com/alianzas-y-partners-de-confianza-en-madrid/" TargetMode="External"/><Relationship Id="rId225" Type="http://schemas.openxmlformats.org/officeDocument/2006/relationships/hyperlink" Target="https://www.lnkmsc.com/spaces/malamaluca/profile/" TargetMode="External"/><Relationship Id="rId109" Type="http://schemas.openxmlformats.org/officeDocument/2006/relationships/hyperlink" Target="https://www.peoniaseventos.com/contacto/" TargetMode="External"/><Relationship Id="rId108" Type="http://schemas.openxmlformats.org/officeDocument/2006/relationships/hyperlink" Target="https://www.peoniaseventos.com/contacto/" TargetMode="External"/><Relationship Id="rId229" Type="http://schemas.openxmlformats.org/officeDocument/2006/relationships/hyperlink" Target="https://maravillasclub.com/" TargetMode="External"/><Relationship Id="rId220" Type="http://schemas.openxmlformats.org/officeDocument/2006/relationships/hyperlink" Target="https://www.salasdeconcierto.net/es/salas/sala-let-s-go" TargetMode="External"/><Relationship Id="rId103" Type="http://schemas.openxmlformats.org/officeDocument/2006/relationships/hyperlink" Target="https://madisonstaff.com/conocenos/" TargetMode="External"/><Relationship Id="rId224" Type="http://schemas.openxmlformats.org/officeDocument/2006/relationships/hyperlink" Target="https://maclarens.es/" TargetMode="External"/><Relationship Id="rId102" Type="http://schemas.openxmlformats.org/officeDocument/2006/relationships/hyperlink" Target="https://madisonstaff.com/conocenos/" TargetMode="External"/><Relationship Id="rId223" Type="http://schemas.openxmlformats.org/officeDocument/2006/relationships/hyperlink" Target="https://maclarens.es/" TargetMode="External"/><Relationship Id="rId101" Type="http://schemas.openxmlformats.org/officeDocument/2006/relationships/hyperlink" Target="https://www.aevea.es/anuario-2021/portfolio/madison-mk/" TargetMode="External"/><Relationship Id="rId222" Type="http://schemas.openxmlformats.org/officeDocument/2006/relationships/hyperlink" Target="https://madridenvivo.com/sala/libertad-8/" TargetMode="External"/><Relationship Id="rId100" Type="http://schemas.openxmlformats.org/officeDocument/2006/relationships/hyperlink" Target="https://www.aevea.es/anuario-2021/portfolio/madison-mk/" TargetMode="External"/><Relationship Id="rId221" Type="http://schemas.openxmlformats.org/officeDocument/2006/relationships/hyperlink" Target="https://libertad8cafe.es/" TargetMode="External"/><Relationship Id="rId217" Type="http://schemas.openxmlformats.org/officeDocument/2006/relationships/hyperlink" Target="https://salariviera.com/" TargetMode="External"/><Relationship Id="rId216" Type="http://schemas.openxmlformats.org/officeDocument/2006/relationships/hyperlink" Target="https://khalumtorrejon.com/" TargetMode="External"/><Relationship Id="rId215" Type="http://schemas.openxmlformats.org/officeDocument/2006/relationships/hyperlink" Target="https://khalumtorrejon.com/" TargetMode="External"/><Relationship Id="rId214" Type="http://schemas.openxmlformats.org/officeDocument/2006/relationships/hyperlink" Target="https://madridenvivo.com/sala/jazzville/" TargetMode="External"/><Relationship Id="rId219" Type="http://schemas.openxmlformats.org/officeDocument/2006/relationships/hyperlink" Target="https://www.salasdeconcierto.net/es/salas/sala-let-s-go" TargetMode="External"/><Relationship Id="rId218" Type="http://schemas.openxmlformats.org/officeDocument/2006/relationships/hyperlink" Target="https://madridenvivo.com/sala/la-riviera/" TargetMode="External"/><Relationship Id="rId213" Type="http://schemas.openxmlformats.org/officeDocument/2006/relationships/hyperlink" Target="https://madridenvivo.com/sala/jazzville/" TargetMode="External"/><Relationship Id="rId212" Type="http://schemas.openxmlformats.org/officeDocument/2006/relationships/hyperlink" Target="https://madridenvivo.com/sala/intruso-bar/" TargetMode="External"/><Relationship Id="rId211" Type="http://schemas.openxmlformats.org/officeDocument/2006/relationships/hyperlink" Target="https://intrusobar.com/" TargetMode="External"/><Relationship Id="rId210" Type="http://schemas.openxmlformats.org/officeDocument/2006/relationships/hyperlink" Target="https://madridenvivo.com/sala/independance-club/" TargetMode="External"/><Relationship Id="rId129" Type="http://schemas.openxmlformats.org/officeDocument/2006/relationships/hyperlink" Target="https://weddingplanner.madrid/contacto/" TargetMode="External"/><Relationship Id="rId128" Type="http://schemas.openxmlformats.org/officeDocument/2006/relationships/hyperlink" Target="https://weddingplanner.madrid/contacto/" TargetMode="External"/><Relationship Id="rId249" Type="http://schemas.openxmlformats.org/officeDocument/2006/relationships/hyperlink" Target="https://fiestaismadrid.es/destalles-del-local/sala-numero-8/" TargetMode="External"/><Relationship Id="rId127" Type="http://schemas.openxmlformats.org/officeDocument/2006/relationships/hyperlink" Target="https://www.weddingplannerenmadrid.es/contacto/" TargetMode="External"/><Relationship Id="rId248" Type="http://schemas.openxmlformats.org/officeDocument/2006/relationships/hyperlink" Target="https://rockville.es/contacta/" TargetMode="External"/><Relationship Id="rId126" Type="http://schemas.openxmlformats.org/officeDocument/2006/relationships/hyperlink" Target="https://www.weddingplannerenmadrid.es/contacto/" TargetMode="External"/><Relationship Id="rId247" Type="http://schemas.openxmlformats.org/officeDocument/2006/relationships/hyperlink" Target="https://rockville.es/contacta/" TargetMode="External"/><Relationship Id="rId121" Type="http://schemas.openxmlformats.org/officeDocument/2006/relationships/hyperlink" Target="https://www.thebigday.es/" TargetMode="External"/><Relationship Id="rId242" Type="http://schemas.openxmlformats.org/officeDocument/2006/relationships/hyperlink" Target="https://www.piratasrock.com/eventos/" TargetMode="External"/><Relationship Id="rId120" Type="http://schemas.openxmlformats.org/officeDocument/2006/relationships/hyperlink" Target="https://www.thebigday.es/" TargetMode="External"/><Relationship Id="rId241" Type="http://schemas.openxmlformats.org/officeDocument/2006/relationships/hyperlink" Target="https://www.piratasrock.com/eventos/" TargetMode="External"/><Relationship Id="rId240" Type="http://schemas.openxmlformats.org/officeDocument/2006/relationships/hyperlink" Target="https://naobistrobar.com/" TargetMode="External"/><Relationship Id="rId125" Type="http://schemas.openxmlformats.org/officeDocument/2006/relationships/hyperlink" Target="https://tudiaperfecto.es/" TargetMode="External"/><Relationship Id="rId246" Type="http://schemas.openxmlformats.org/officeDocument/2006/relationships/hyperlink" Target="https://rincondelartenuevo.com/" TargetMode="External"/><Relationship Id="rId124" Type="http://schemas.openxmlformats.org/officeDocument/2006/relationships/hyperlink" Target="https://tudiaperfecto.es/" TargetMode="External"/><Relationship Id="rId245" Type="http://schemas.openxmlformats.org/officeDocument/2006/relationships/hyperlink" Target="https://rincondelartenuevo.com/" TargetMode="External"/><Relationship Id="rId123" Type="http://schemas.openxmlformats.org/officeDocument/2006/relationships/hyperlink" Target="https://theplannerco.es/" TargetMode="External"/><Relationship Id="rId244" Type="http://schemas.openxmlformats.org/officeDocument/2006/relationships/hyperlink" Target="https://reylouie.com/" TargetMode="External"/><Relationship Id="rId122" Type="http://schemas.openxmlformats.org/officeDocument/2006/relationships/hyperlink" Target="https://theplannerco.es/" TargetMode="External"/><Relationship Id="rId243" Type="http://schemas.openxmlformats.org/officeDocument/2006/relationships/hyperlink" Target="https://reylouie.com/" TargetMode="External"/><Relationship Id="rId95" Type="http://schemas.openxmlformats.org/officeDocument/2006/relationships/hyperlink" Target="https://www.fundacionculturalasrozas.org/contacto/" TargetMode="External"/><Relationship Id="rId94" Type="http://schemas.openxmlformats.org/officeDocument/2006/relationships/hyperlink" Target="https://www.fundacionculturalasrozas.org/contacto/" TargetMode="External"/><Relationship Id="rId97" Type="http://schemas.openxmlformats.org/officeDocument/2006/relationships/hyperlink" Target="https://www.gigstarter.es/provinces/madrid/contratar-artista" TargetMode="External"/><Relationship Id="rId96" Type="http://schemas.openxmlformats.org/officeDocument/2006/relationships/hyperlink" Target="https://www.gigstarter.es/provinces/madrid/contratar-artista" TargetMode="External"/><Relationship Id="rId99" Type="http://schemas.openxmlformats.org/officeDocument/2006/relationships/hyperlink" Target="https://weddingplannerimaginatuboda.es/contacto/" TargetMode="External"/><Relationship Id="rId98" Type="http://schemas.openxmlformats.org/officeDocument/2006/relationships/hyperlink" Target="https://weddingplannerimaginatuboda.es/contacto/" TargetMode="External"/><Relationship Id="rId91" Type="http://schemas.openxmlformats.org/officeDocument/2006/relationships/hyperlink" Target="https://factoria86.com/contacto/" TargetMode="External"/><Relationship Id="rId90" Type="http://schemas.openxmlformats.org/officeDocument/2006/relationships/hyperlink" Target="https://factoria86.com/contacto/" TargetMode="External"/><Relationship Id="rId93" Type="http://schemas.openxmlformats.org/officeDocument/2006/relationships/hyperlink" Target="https://feriasyfiestasdemadrid.com/contacto/" TargetMode="External"/><Relationship Id="rId92" Type="http://schemas.openxmlformats.org/officeDocument/2006/relationships/hyperlink" Target="https://feriasyfiestasdemadrid.com/contacto/" TargetMode="External"/><Relationship Id="rId118" Type="http://schemas.openxmlformats.org/officeDocument/2006/relationships/hyperlink" Target="https://teambride.es/" TargetMode="External"/><Relationship Id="rId239" Type="http://schemas.openxmlformats.org/officeDocument/2006/relationships/hyperlink" Target="https://naobistrobar.com/" TargetMode="External"/><Relationship Id="rId117" Type="http://schemas.openxmlformats.org/officeDocument/2006/relationships/hyperlink" Target="https://tdmeventosmadrid.com/servicios-de-contratacion-en-madrid/" TargetMode="External"/><Relationship Id="rId238" Type="http://schemas.openxmlformats.org/officeDocument/2006/relationships/hyperlink" Target="https://madridenvivo.com/sala/morocco/" TargetMode="External"/><Relationship Id="rId116" Type="http://schemas.openxmlformats.org/officeDocument/2006/relationships/hyperlink" Target="https://tdmeventosmadrid.com/servicios-de-contratacion-en-madrid/" TargetMode="External"/><Relationship Id="rId237" Type="http://schemas.openxmlformats.org/officeDocument/2006/relationships/hyperlink" Target="https://salamorocco.com/" TargetMode="External"/><Relationship Id="rId115" Type="http://schemas.openxmlformats.org/officeDocument/2006/relationships/hyperlink" Target="https://www.sweetideas.es/es/contacto-agencia-publicidad/" TargetMode="External"/><Relationship Id="rId236" Type="http://schemas.openxmlformats.org/officeDocument/2006/relationships/hyperlink" Target="https://www.facebook.com/monkeyjuanma/?locale=es_ES" TargetMode="External"/><Relationship Id="rId119" Type="http://schemas.openxmlformats.org/officeDocument/2006/relationships/hyperlink" Target="https://teambride.es/" TargetMode="External"/><Relationship Id="rId110" Type="http://schemas.openxmlformats.org/officeDocument/2006/relationships/hyperlink" Target="https://www.sevenweddings.com/language/en/contact/" TargetMode="External"/><Relationship Id="rId231" Type="http://schemas.openxmlformats.org/officeDocument/2006/relationships/hyperlink" Target="https://www.mobydickclub.com/" TargetMode="External"/><Relationship Id="rId230" Type="http://schemas.openxmlformats.org/officeDocument/2006/relationships/hyperlink" Target="https://maravillasclub.com/" TargetMode="External"/><Relationship Id="rId114" Type="http://schemas.openxmlformats.org/officeDocument/2006/relationships/hyperlink" Target="https://www.sweetideas.es/es/contacto-agencia-publicidad/" TargetMode="External"/><Relationship Id="rId235" Type="http://schemas.openxmlformats.org/officeDocument/2006/relationships/hyperlink" Target="https://www.facebook.com/monkeyjuanma/" TargetMode="External"/><Relationship Id="rId113" Type="http://schemas.openxmlformats.org/officeDocument/2006/relationships/hyperlink" Target="https://www.facebook.com/sissiweddings.bodas/" TargetMode="External"/><Relationship Id="rId234" Type="http://schemas.openxmlformats.org/officeDocument/2006/relationships/hyperlink" Target="https://madridenvivo.com/sala/moe/" TargetMode="External"/><Relationship Id="rId112" Type="http://schemas.openxmlformats.org/officeDocument/2006/relationships/hyperlink" Target="https://www.facebook.com/sissiweddings.bodas/" TargetMode="External"/><Relationship Id="rId233" Type="http://schemas.openxmlformats.org/officeDocument/2006/relationships/hyperlink" Target="https://moeclub.com/" TargetMode="External"/><Relationship Id="rId111" Type="http://schemas.openxmlformats.org/officeDocument/2006/relationships/hyperlink" Target="https://www.sevenweddings.com/language/en/contact/" TargetMode="External"/><Relationship Id="rId232" Type="http://schemas.openxmlformats.org/officeDocument/2006/relationships/hyperlink" Target="https://madridenvivo.com/sala/moby-dick/" TargetMode="External"/><Relationship Id="rId206" Type="http://schemas.openxmlformats.org/officeDocument/2006/relationships/hyperlink" Target="https://madridenvivo.com/sala/hangar-48/" TargetMode="External"/><Relationship Id="rId205" Type="http://schemas.openxmlformats.org/officeDocument/2006/relationships/hyperlink" Target="https://hangar48.es/" TargetMode="External"/><Relationship Id="rId204" Type="http://schemas.openxmlformats.org/officeDocument/2006/relationships/hyperlink" Target="https://madridenvivo.com/sala/gruta-77/" TargetMode="External"/><Relationship Id="rId203" Type="http://schemas.openxmlformats.org/officeDocument/2006/relationships/hyperlink" Target="https://gruta77.com/" TargetMode="External"/><Relationship Id="rId209" Type="http://schemas.openxmlformats.org/officeDocument/2006/relationships/hyperlink" Target="https://independanceclub.com/" TargetMode="External"/><Relationship Id="rId208" Type="http://schemas.openxmlformats.org/officeDocument/2006/relationships/hyperlink" Target="https://madridenvivo.com/sala/honky-tonk/" TargetMode="External"/><Relationship Id="rId207" Type="http://schemas.openxmlformats.org/officeDocument/2006/relationships/hyperlink" Target="https://clubhonky.com/" TargetMode="External"/><Relationship Id="rId202" Type="http://schemas.openxmlformats.org/officeDocument/2006/relationships/hyperlink" Target="https://madridenvivo.com/sala/galileo-galilei/" TargetMode="External"/><Relationship Id="rId201" Type="http://schemas.openxmlformats.org/officeDocument/2006/relationships/hyperlink" Target="https://salagalileo.com/" TargetMode="External"/><Relationship Id="rId200" Type="http://schemas.openxmlformats.org/officeDocument/2006/relationships/hyperlink" Target="https://madridenvivo.com/sala/fun-house/"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2.13"/>
    <col customWidth="1" min="2" max="2" width="109.38"/>
    <col customWidth="1" min="3" max="26" width="8.63"/>
  </cols>
  <sheetData>
    <row r="1">
      <c r="A1" s="1" t="s">
        <v>0</v>
      </c>
      <c r="B1" s="1"/>
      <c r="C1" s="1"/>
      <c r="D1" s="1"/>
      <c r="E1" s="1"/>
      <c r="F1" s="1"/>
      <c r="G1" s="1"/>
      <c r="H1" s="1"/>
      <c r="I1" s="1"/>
      <c r="J1" s="1"/>
      <c r="K1" s="1"/>
      <c r="L1" s="1"/>
      <c r="M1" s="1"/>
      <c r="N1" s="1"/>
      <c r="O1" s="1"/>
      <c r="P1" s="1"/>
      <c r="Q1" s="1"/>
      <c r="R1" s="1"/>
      <c r="S1" s="1"/>
      <c r="T1" s="1"/>
      <c r="U1" s="1"/>
      <c r="V1" s="1"/>
      <c r="W1" s="1"/>
      <c r="X1" s="1"/>
      <c r="Y1" s="1"/>
      <c r="Z1" s="1"/>
    </row>
    <row r="2">
      <c r="A2" s="2" t="s">
        <v>1</v>
      </c>
      <c r="B2" s="3" t="s">
        <v>2</v>
      </c>
    </row>
    <row r="3">
      <c r="A3" s="2" t="s">
        <v>3</v>
      </c>
      <c r="B3" s="3" t="s">
        <v>4</v>
      </c>
    </row>
    <row r="4">
      <c r="A4" s="2" t="s">
        <v>5</v>
      </c>
      <c r="B4" s="4" t="s">
        <v>6</v>
      </c>
    </row>
    <row r="5">
      <c r="A5" s="2" t="s">
        <v>7</v>
      </c>
      <c r="B5" s="4" t="s">
        <v>6</v>
      </c>
    </row>
    <row r="6">
      <c r="A6" s="2" t="s">
        <v>8</v>
      </c>
      <c r="B6" s="5">
        <v>46146.55201128472</v>
      </c>
    </row>
    <row r="7">
      <c r="A7" s="2" t="s">
        <v>9</v>
      </c>
      <c r="B7" s="6" t="s">
        <v>10</v>
      </c>
    </row>
    <row r="8">
      <c r="A8" s="2" t="s">
        <v>11</v>
      </c>
      <c r="B8" s="4" t="s">
        <v>12</v>
      </c>
    </row>
    <row r="9">
      <c r="A9" s="7" t="s">
        <v>13</v>
      </c>
      <c r="B9" s="3" t="s">
        <v>14</v>
      </c>
    </row>
    <row r="10">
      <c r="A10" s="2"/>
    </row>
    <row r="11">
      <c r="A11" s="2"/>
    </row>
    <row r="12">
      <c r="A12" s="2"/>
    </row>
    <row r="13">
      <c r="A13" s="2"/>
    </row>
    <row r="14">
      <c r="A14" s="2"/>
    </row>
    <row r="15">
      <c r="A15" s="2"/>
    </row>
    <row r="16">
      <c r="A16" s="2"/>
    </row>
    <row r="17">
      <c r="A17" s="2"/>
    </row>
    <row r="18">
      <c r="A18" s="2"/>
    </row>
    <row r="19">
      <c r="A19" s="2"/>
    </row>
    <row r="20">
      <c r="A20" s="2"/>
    </row>
    <row r="21" ht="15.75" customHeight="1">
      <c r="A21" s="2"/>
    </row>
    <row r="22" ht="15.75" customHeight="1">
      <c r="A22" s="2"/>
    </row>
    <row r="23" ht="15.75" customHeight="1">
      <c r="A23" s="2"/>
    </row>
    <row r="24" ht="15.75" customHeight="1">
      <c r="A24" s="2"/>
    </row>
    <row r="25" ht="15.75" customHeight="1">
      <c r="A25" s="2"/>
    </row>
    <row r="26" ht="15.75" customHeight="1">
      <c r="A26" s="2"/>
    </row>
    <row r="27" ht="15.75" customHeight="1">
      <c r="A27" s="2"/>
    </row>
    <row r="28" ht="15.75" customHeight="1">
      <c r="A28" s="2"/>
    </row>
    <row r="29" ht="15.75" customHeight="1">
      <c r="A29" s="2"/>
    </row>
    <row r="30" ht="15.75" customHeight="1">
      <c r="A30" s="2"/>
    </row>
    <row r="31" ht="15.75" customHeight="1">
      <c r="A31" s="2"/>
    </row>
    <row r="32" ht="15.75" customHeight="1">
      <c r="A32" s="2"/>
    </row>
    <row r="33" ht="15.75" customHeight="1">
      <c r="A33" s="2"/>
    </row>
    <row r="34" ht="15.75" customHeight="1">
      <c r="A34" s="2"/>
    </row>
    <row r="35" ht="15.75" customHeight="1">
      <c r="A35" s="2"/>
    </row>
    <row r="36" ht="15.75" customHeight="1">
      <c r="A36" s="2"/>
    </row>
    <row r="37" ht="15.75" customHeight="1">
      <c r="A37" s="2"/>
    </row>
    <row r="38" ht="15.75" customHeight="1">
      <c r="A38" s="2"/>
    </row>
    <row r="39" ht="15.75" customHeight="1">
      <c r="A39" s="2"/>
    </row>
    <row r="40" ht="15.75" customHeight="1">
      <c r="A40" s="2"/>
    </row>
    <row r="41" ht="15.75" customHeight="1">
      <c r="A41" s="2"/>
    </row>
    <row r="42" ht="15.75" customHeight="1">
      <c r="A42" s="2"/>
    </row>
    <row r="43" ht="15.75" customHeight="1">
      <c r="A43" s="2"/>
    </row>
    <row r="44" ht="15.75" customHeight="1">
      <c r="A44" s="2"/>
    </row>
    <row r="45" ht="15.75" customHeight="1">
      <c r="A45" s="2"/>
    </row>
    <row r="46" ht="15.75" customHeight="1">
      <c r="A46" s="2"/>
    </row>
    <row r="47" ht="15.75" customHeight="1">
      <c r="A47" s="2"/>
    </row>
    <row r="48" ht="15.75" customHeight="1">
      <c r="A48" s="2"/>
    </row>
    <row r="49" ht="15.75" customHeight="1">
      <c r="A49" s="2"/>
    </row>
    <row r="50" ht="15.75" customHeight="1">
      <c r="A50" s="2"/>
    </row>
    <row r="51" ht="15.75" customHeight="1">
      <c r="A51" s="2"/>
    </row>
    <row r="52" ht="15.75" customHeight="1">
      <c r="A52" s="2"/>
    </row>
    <row r="53" ht="15.75" customHeight="1">
      <c r="A53" s="2"/>
    </row>
    <row r="54" ht="15.75" customHeight="1">
      <c r="A54" s="2"/>
    </row>
    <row r="55" ht="15.75" customHeight="1">
      <c r="A55" s="2"/>
    </row>
    <row r="56" ht="15.75" customHeight="1">
      <c r="A56" s="2"/>
    </row>
    <row r="57" ht="15.75" customHeight="1">
      <c r="A57" s="2"/>
    </row>
    <row r="58" ht="15.75" customHeight="1">
      <c r="A58" s="2"/>
    </row>
    <row r="59" ht="15.75" customHeight="1">
      <c r="A59" s="2"/>
    </row>
    <row r="60" ht="15.75" customHeight="1">
      <c r="A60" s="2"/>
    </row>
    <row r="61" ht="15.75" customHeight="1">
      <c r="A61" s="2"/>
    </row>
    <row r="62" ht="15.75" customHeight="1">
      <c r="A62" s="2"/>
    </row>
    <row r="63" ht="15.75" customHeight="1">
      <c r="A63" s="2"/>
    </row>
    <row r="64" ht="15.75" customHeight="1">
      <c r="A64" s="2"/>
    </row>
    <row r="65" ht="15.75" customHeight="1">
      <c r="A65" s="2"/>
    </row>
    <row r="66" ht="15.75" customHeight="1">
      <c r="A66" s="2"/>
    </row>
    <row r="67" ht="15.75" customHeight="1">
      <c r="A67" s="2"/>
    </row>
    <row r="68" ht="15.75" customHeight="1">
      <c r="A68" s="2"/>
    </row>
    <row r="69" ht="15.75" customHeight="1">
      <c r="A69" s="2"/>
    </row>
    <row r="70" ht="15.75" customHeight="1">
      <c r="A70" s="2"/>
    </row>
    <row r="71" ht="15.75" customHeight="1">
      <c r="A71" s="2"/>
    </row>
    <row r="72" ht="15.75" customHeight="1">
      <c r="A72" s="2"/>
    </row>
    <row r="73" ht="15.75" customHeight="1">
      <c r="A73" s="2"/>
    </row>
    <row r="74" ht="15.75" customHeight="1">
      <c r="A74" s="2"/>
    </row>
    <row r="75" ht="15.75" customHeight="1">
      <c r="A75" s="2"/>
    </row>
    <row r="76" ht="15.75" customHeight="1">
      <c r="A76" s="2"/>
    </row>
    <row r="77" ht="15.75" customHeight="1">
      <c r="A77" s="2"/>
    </row>
    <row r="78" ht="15.75" customHeight="1">
      <c r="A78" s="2"/>
    </row>
    <row r="79" ht="15.75" customHeight="1">
      <c r="A79" s="2"/>
    </row>
    <row r="80" ht="15.75" customHeight="1">
      <c r="A80" s="2"/>
    </row>
    <row r="81" ht="15.75" customHeight="1">
      <c r="A81" s="2"/>
    </row>
    <row r="82" ht="15.75" customHeight="1">
      <c r="A82" s="2"/>
    </row>
    <row r="83" ht="15.75" customHeight="1">
      <c r="A83" s="2"/>
    </row>
    <row r="84" ht="15.75" customHeight="1">
      <c r="A84" s="2"/>
    </row>
    <row r="85" ht="15.75" customHeight="1">
      <c r="A85" s="2"/>
    </row>
    <row r="86" ht="15.75" customHeight="1">
      <c r="A86" s="2"/>
    </row>
    <row r="87" ht="15.75" customHeight="1">
      <c r="A87" s="2"/>
    </row>
    <row r="88" ht="15.75" customHeight="1">
      <c r="A88" s="2"/>
    </row>
    <row r="89" ht="15.75" customHeight="1">
      <c r="A89" s="2"/>
    </row>
    <row r="90" ht="15.75" customHeight="1">
      <c r="A90" s="2"/>
    </row>
    <row r="91" ht="15.75" customHeight="1">
      <c r="A91" s="2"/>
    </row>
    <row r="92" ht="15.75" customHeight="1">
      <c r="A92" s="2"/>
    </row>
    <row r="93" ht="15.75" customHeight="1">
      <c r="A93" s="2"/>
    </row>
    <row r="94" ht="15.75" customHeight="1">
      <c r="A94" s="2"/>
    </row>
    <row r="95" ht="15.75" customHeight="1">
      <c r="A95" s="2"/>
    </row>
    <row r="96" ht="15.75" customHeight="1">
      <c r="A96" s="2"/>
    </row>
    <row r="97" ht="15.75" customHeight="1">
      <c r="A97" s="2"/>
    </row>
    <row r="98" ht="15.75" customHeight="1">
      <c r="A98" s="2"/>
    </row>
    <row r="99" ht="15.75" customHeight="1">
      <c r="A99" s="2"/>
    </row>
    <row r="100" ht="15.75" customHeight="1">
      <c r="A100" s="2"/>
    </row>
    <row r="101" ht="15.75" customHeight="1">
      <c r="A101" s="2"/>
    </row>
    <row r="102" ht="15.75" customHeight="1">
      <c r="A102" s="2"/>
    </row>
    <row r="103" ht="15.75" customHeight="1">
      <c r="A103" s="2"/>
    </row>
    <row r="104" ht="15.75" customHeight="1">
      <c r="A104" s="2"/>
    </row>
    <row r="105" ht="15.75" customHeight="1">
      <c r="A105" s="2"/>
    </row>
    <row r="106" ht="15.75" customHeight="1">
      <c r="A106" s="2"/>
    </row>
    <row r="107" ht="15.75" customHeight="1">
      <c r="A107" s="2"/>
    </row>
    <row r="108" ht="15.75" customHeight="1">
      <c r="A108" s="2"/>
    </row>
    <row r="109" ht="15.75" customHeight="1">
      <c r="A109" s="2"/>
    </row>
    <row r="110" ht="15.75" customHeight="1">
      <c r="A110" s="2"/>
    </row>
    <row r="111" ht="15.75" customHeight="1">
      <c r="A111" s="2"/>
    </row>
    <row r="112" ht="15.75" customHeight="1">
      <c r="A112" s="2"/>
    </row>
    <row r="113" ht="15.75" customHeight="1">
      <c r="A113" s="2"/>
    </row>
    <row r="114" ht="15.75" customHeight="1">
      <c r="A114" s="2"/>
    </row>
    <row r="115" ht="15.75" customHeight="1">
      <c r="A115" s="2"/>
    </row>
    <row r="116" ht="15.75" customHeight="1">
      <c r="A116" s="2"/>
    </row>
    <row r="117" ht="15.75" customHeight="1">
      <c r="A117" s="2"/>
    </row>
    <row r="118" ht="15.75" customHeight="1">
      <c r="A118" s="2"/>
    </row>
    <row r="119" ht="15.75" customHeight="1">
      <c r="A119" s="2"/>
    </row>
    <row r="120" ht="15.75" customHeight="1">
      <c r="A120" s="2"/>
    </row>
    <row r="121" ht="15.75" customHeight="1">
      <c r="A121" s="2"/>
    </row>
    <row r="122" ht="15.75" customHeight="1">
      <c r="A122" s="2"/>
    </row>
    <row r="123" ht="15.75" customHeight="1">
      <c r="A123" s="2"/>
    </row>
    <row r="124" ht="15.75" customHeight="1">
      <c r="A124" s="2"/>
    </row>
    <row r="125" ht="15.75" customHeight="1">
      <c r="A125" s="2"/>
    </row>
    <row r="126" ht="15.75" customHeight="1">
      <c r="A126" s="2"/>
    </row>
    <row r="127" ht="15.75" customHeight="1">
      <c r="A127" s="2"/>
    </row>
    <row r="128" ht="15.75" customHeight="1">
      <c r="A128" s="2"/>
    </row>
    <row r="129" ht="15.75" customHeight="1">
      <c r="A129" s="2"/>
    </row>
    <row r="130" ht="15.75" customHeight="1">
      <c r="A130" s="2"/>
    </row>
    <row r="131" ht="15.75" customHeight="1">
      <c r="A131" s="2"/>
    </row>
    <row r="132" ht="15.75" customHeight="1">
      <c r="A132" s="2"/>
    </row>
    <row r="133" ht="15.75" customHeight="1">
      <c r="A133" s="2"/>
    </row>
    <row r="134" ht="15.75" customHeight="1">
      <c r="A134" s="2"/>
    </row>
    <row r="135" ht="15.75" customHeight="1">
      <c r="A135" s="2"/>
    </row>
    <row r="136" ht="15.75" customHeight="1">
      <c r="A136" s="2"/>
    </row>
    <row r="137" ht="15.75" customHeight="1">
      <c r="A137" s="2"/>
    </row>
    <row r="138" ht="15.75" customHeight="1">
      <c r="A138" s="2"/>
    </row>
    <row r="139" ht="15.75" customHeight="1">
      <c r="A139" s="2"/>
    </row>
    <row r="140" ht="15.75" customHeight="1">
      <c r="A140" s="2"/>
    </row>
    <row r="141" ht="15.75" customHeight="1">
      <c r="A141" s="2"/>
    </row>
    <row r="142" ht="15.75" customHeight="1">
      <c r="A142" s="2"/>
    </row>
    <row r="143" ht="15.75" customHeight="1">
      <c r="A143" s="2"/>
    </row>
    <row r="144" ht="15.75" customHeight="1">
      <c r="A144" s="2"/>
    </row>
    <row r="145" ht="15.75" customHeight="1">
      <c r="A145" s="2"/>
    </row>
    <row r="146" ht="15.75" customHeight="1">
      <c r="A146" s="2"/>
    </row>
    <row r="147" ht="15.75" customHeight="1">
      <c r="A147" s="2"/>
    </row>
    <row r="148" ht="15.75" customHeight="1">
      <c r="A148" s="2"/>
    </row>
    <row r="149" ht="15.75" customHeight="1">
      <c r="A149" s="2"/>
    </row>
    <row r="150" ht="15.75" customHeight="1">
      <c r="A150" s="2"/>
    </row>
    <row r="151" ht="15.75" customHeight="1">
      <c r="A151" s="2"/>
    </row>
    <row r="152" ht="15.75" customHeight="1">
      <c r="A152" s="2"/>
    </row>
    <row r="153" ht="15.75" customHeight="1">
      <c r="A153" s="2"/>
    </row>
    <row r="154" ht="15.75" customHeight="1">
      <c r="A154" s="2"/>
    </row>
    <row r="155" ht="15.75" customHeight="1">
      <c r="A155" s="2"/>
    </row>
    <row r="156" ht="15.75" customHeight="1">
      <c r="A156" s="2"/>
    </row>
    <row r="157" ht="15.75" customHeight="1">
      <c r="A157" s="2"/>
    </row>
    <row r="158" ht="15.75" customHeight="1">
      <c r="A158" s="2"/>
    </row>
    <row r="159" ht="15.75" customHeight="1">
      <c r="A159" s="2"/>
    </row>
    <row r="160" ht="15.75" customHeight="1">
      <c r="A160" s="2"/>
    </row>
    <row r="161" ht="15.75" customHeight="1">
      <c r="A161" s="2"/>
    </row>
    <row r="162" ht="15.75" customHeight="1">
      <c r="A162" s="2"/>
    </row>
    <row r="163" ht="15.75" customHeight="1">
      <c r="A163" s="2"/>
    </row>
    <row r="164" ht="15.75" customHeight="1">
      <c r="A164" s="2"/>
    </row>
    <row r="165" ht="15.75" customHeight="1">
      <c r="A165" s="2"/>
    </row>
    <row r="166" ht="15.75" customHeight="1">
      <c r="A166" s="2"/>
    </row>
    <row r="167" ht="15.75" customHeight="1">
      <c r="A167" s="2"/>
    </row>
    <row r="168" ht="15.75" customHeight="1">
      <c r="A168" s="2"/>
    </row>
    <row r="169" ht="15.75" customHeight="1">
      <c r="A169" s="2"/>
    </row>
    <row r="170" ht="15.75" customHeight="1">
      <c r="A170" s="2"/>
    </row>
    <row r="171" ht="15.75" customHeight="1">
      <c r="A171" s="2"/>
    </row>
    <row r="172" ht="15.75" customHeight="1">
      <c r="A172" s="2"/>
    </row>
    <row r="173" ht="15.75" customHeight="1">
      <c r="A173" s="2"/>
    </row>
    <row r="174" ht="15.75" customHeight="1">
      <c r="A174" s="2"/>
    </row>
    <row r="175" ht="15.75" customHeight="1">
      <c r="A175" s="2"/>
    </row>
    <row r="176" ht="15.75" customHeight="1">
      <c r="A176" s="2"/>
    </row>
    <row r="177" ht="15.75" customHeight="1">
      <c r="A177" s="2"/>
    </row>
    <row r="178" ht="15.75" customHeight="1">
      <c r="A178" s="2"/>
    </row>
    <row r="179" ht="15.75" customHeight="1">
      <c r="A179" s="2"/>
    </row>
    <row r="180" ht="15.75" customHeight="1">
      <c r="A180" s="2"/>
    </row>
    <row r="181" ht="15.75" customHeight="1">
      <c r="A181" s="2"/>
    </row>
    <row r="182" ht="15.75" customHeight="1">
      <c r="A182" s="2"/>
    </row>
    <row r="183" ht="15.75" customHeight="1">
      <c r="A183" s="2"/>
    </row>
    <row r="184" ht="15.75" customHeight="1">
      <c r="A184" s="2"/>
    </row>
    <row r="185" ht="15.75" customHeight="1">
      <c r="A185" s="2"/>
    </row>
    <row r="186" ht="15.75" customHeight="1">
      <c r="A186" s="2"/>
    </row>
    <row r="187" ht="15.75" customHeight="1">
      <c r="A187" s="2"/>
    </row>
    <row r="188" ht="15.75" customHeight="1">
      <c r="A188" s="2"/>
    </row>
    <row r="189" ht="15.75" customHeight="1">
      <c r="A189" s="2"/>
    </row>
    <row r="190" ht="15.75" customHeight="1">
      <c r="A190" s="2"/>
    </row>
    <row r="191" ht="15.75" customHeight="1">
      <c r="A191" s="2"/>
    </row>
    <row r="192" ht="15.75" customHeight="1">
      <c r="A192" s="2"/>
    </row>
    <row r="193" ht="15.75" customHeight="1">
      <c r="A193" s="2"/>
    </row>
    <row r="194" ht="15.75" customHeight="1">
      <c r="A194" s="2"/>
    </row>
    <row r="195" ht="15.75" customHeight="1">
      <c r="A195" s="2"/>
    </row>
    <row r="196" ht="15.75" customHeight="1">
      <c r="A196" s="2"/>
    </row>
    <row r="197" ht="15.75" customHeight="1">
      <c r="A197" s="2"/>
    </row>
    <row r="198" ht="15.75" customHeight="1">
      <c r="A198" s="2"/>
    </row>
    <row r="199" ht="15.75" customHeight="1">
      <c r="A199" s="2"/>
    </row>
    <row r="200" ht="15.75" customHeight="1">
      <c r="A200" s="2"/>
    </row>
    <row r="201" ht="15.75" customHeight="1">
      <c r="A201" s="2"/>
    </row>
    <row r="202" ht="15.75" customHeight="1">
      <c r="A202" s="2"/>
    </row>
    <row r="203" ht="15.75" customHeight="1">
      <c r="A203" s="2"/>
    </row>
    <row r="204" ht="15.75" customHeight="1">
      <c r="A204" s="2"/>
    </row>
    <row r="205" ht="15.75" customHeight="1">
      <c r="A205" s="2"/>
    </row>
    <row r="206" ht="15.75" customHeight="1">
      <c r="A206" s="2"/>
    </row>
    <row r="207" ht="15.75" customHeight="1">
      <c r="A207" s="2"/>
    </row>
    <row r="208" ht="15.75" customHeight="1">
      <c r="A208" s="2"/>
    </row>
    <row r="209" ht="15.75" customHeight="1">
      <c r="A209" s="2"/>
    </row>
    <row r="210" ht="15.75" customHeight="1">
      <c r="A210" s="2"/>
    </row>
    <row r="211" ht="15.75" customHeight="1">
      <c r="A211" s="2"/>
    </row>
    <row r="212" ht="15.75" customHeight="1">
      <c r="A212" s="2"/>
    </row>
    <row r="213" ht="15.75" customHeight="1">
      <c r="A213" s="2"/>
    </row>
    <row r="214" ht="15.75" customHeight="1">
      <c r="A214" s="2"/>
    </row>
    <row r="215" ht="15.75" customHeight="1">
      <c r="A215" s="2"/>
    </row>
    <row r="216" ht="15.75" customHeight="1">
      <c r="A216" s="2"/>
    </row>
    <row r="217" ht="15.75" customHeight="1">
      <c r="A217" s="2"/>
    </row>
    <row r="218" ht="15.75" customHeight="1">
      <c r="A218" s="2"/>
    </row>
    <row r="219" ht="15.75" customHeight="1">
      <c r="A219" s="2"/>
    </row>
    <row r="220" ht="15.75" customHeight="1">
      <c r="A220" s="2"/>
    </row>
    <row r="221" ht="15.75" customHeight="1">
      <c r="A221" s="2"/>
    </row>
    <row r="222" ht="15.75" customHeight="1">
      <c r="A222" s="2"/>
    </row>
    <row r="223" ht="15.75" customHeight="1">
      <c r="A223" s="2"/>
    </row>
    <row r="224" ht="15.75" customHeight="1">
      <c r="A224" s="2"/>
    </row>
    <row r="225" ht="15.75" customHeight="1">
      <c r="A225" s="2"/>
    </row>
    <row r="226" ht="15.75" customHeight="1">
      <c r="A226" s="2"/>
    </row>
    <row r="227" ht="15.75" customHeight="1">
      <c r="A227" s="2"/>
    </row>
    <row r="228" ht="15.75" customHeight="1">
      <c r="A228" s="2"/>
    </row>
    <row r="229" ht="15.75" customHeight="1">
      <c r="A229" s="2"/>
    </row>
    <row r="230" ht="15.75" customHeight="1">
      <c r="A230" s="2"/>
    </row>
    <row r="231" ht="15.75" customHeight="1">
      <c r="A231" s="2"/>
    </row>
    <row r="232" ht="15.75" customHeight="1">
      <c r="A232" s="2"/>
    </row>
    <row r="233" ht="15.75" customHeight="1">
      <c r="A233" s="2"/>
    </row>
    <row r="234" ht="15.75" customHeight="1">
      <c r="A234" s="2"/>
    </row>
    <row r="235" ht="15.75" customHeight="1">
      <c r="A235" s="2"/>
    </row>
    <row r="236" ht="15.75" customHeight="1">
      <c r="A236" s="2"/>
    </row>
    <row r="237" ht="15.75" customHeight="1">
      <c r="A237" s="2"/>
    </row>
    <row r="238" ht="15.75" customHeight="1">
      <c r="A238" s="2"/>
    </row>
    <row r="239" ht="15.75" customHeight="1">
      <c r="A239" s="2"/>
    </row>
    <row r="240" ht="15.75" customHeight="1">
      <c r="A240" s="2"/>
    </row>
    <row r="241" ht="15.75" customHeight="1">
      <c r="A241" s="2"/>
    </row>
    <row r="242" ht="15.75" customHeight="1">
      <c r="A242" s="2"/>
    </row>
    <row r="243" ht="15.75" customHeight="1">
      <c r="A243" s="2"/>
    </row>
    <row r="244" ht="15.75" customHeight="1">
      <c r="A244" s="2"/>
    </row>
    <row r="245" ht="15.75" customHeight="1">
      <c r="A245" s="2"/>
    </row>
    <row r="246" ht="15.75" customHeight="1">
      <c r="A246" s="2"/>
    </row>
    <row r="247" ht="15.75" customHeight="1">
      <c r="A247" s="2"/>
    </row>
    <row r="248" ht="15.75" customHeight="1">
      <c r="A248" s="2"/>
    </row>
    <row r="249" ht="15.75" customHeight="1">
      <c r="A249" s="2"/>
    </row>
    <row r="250" ht="15.75" customHeight="1">
      <c r="A250" s="2"/>
    </row>
    <row r="251" ht="15.75" customHeight="1">
      <c r="A251" s="2"/>
    </row>
    <row r="252" ht="15.75" customHeight="1">
      <c r="A252" s="2"/>
    </row>
    <row r="253" ht="15.75" customHeight="1">
      <c r="A253" s="2"/>
    </row>
    <row r="254" ht="15.75" customHeight="1">
      <c r="A254" s="2"/>
    </row>
    <row r="255" ht="15.75" customHeight="1">
      <c r="A255" s="2"/>
    </row>
    <row r="256" ht="15.75" customHeight="1">
      <c r="A256" s="2"/>
    </row>
    <row r="257" ht="15.75" customHeight="1">
      <c r="A257" s="2"/>
    </row>
    <row r="258" ht="15.75" customHeight="1">
      <c r="A258" s="2"/>
    </row>
    <row r="259" ht="15.75" customHeight="1">
      <c r="A259" s="2"/>
    </row>
    <row r="260" ht="15.75" customHeight="1">
      <c r="A260" s="2"/>
    </row>
    <row r="261" ht="15.75" customHeight="1">
      <c r="A261" s="2"/>
    </row>
    <row r="262" ht="15.75" customHeight="1">
      <c r="A262" s="2"/>
    </row>
    <row r="263" ht="15.75" customHeight="1">
      <c r="A263" s="2"/>
    </row>
    <row r="264" ht="15.75" customHeight="1">
      <c r="A264" s="2"/>
    </row>
    <row r="265" ht="15.75" customHeight="1">
      <c r="A265" s="2"/>
    </row>
    <row r="266" ht="15.75" customHeight="1">
      <c r="A266" s="2"/>
    </row>
    <row r="267" ht="15.75" customHeight="1">
      <c r="A267" s="2"/>
    </row>
    <row r="268" ht="15.75" customHeight="1">
      <c r="A268" s="2"/>
    </row>
    <row r="269" ht="15.75" customHeight="1">
      <c r="A269" s="2"/>
    </row>
    <row r="270" ht="15.75" customHeight="1">
      <c r="A270" s="2"/>
    </row>
    <row r="271" ht="15.75" customHeight="1">
      <c r="A271" s="2"/>
    </row>
    <row r="272" ht="15.75" customHeight="1">
      <c r="A272" s="2"/>
    </row>
    <row r="273" ht="15.75" customHeight="1">
      <c r="A273" s="2"/>
    </row>
    <row r="274" ht="15.75" customHeight="1">
      <c r="A274" s="2"/>
    </row>
    <row r="275" ht="15.75" customHeight="1">
      <c r="A275" s="2"/>
    </row>
    <row r="276" ht="15.75" customHeight="1">
      <c r="A276" s="2"/>
    </row>
    <row r="277" ht="15.75" customHeight="1">
      <c r="A277" s="2"/>
    </row>
    <row r="278" ht="15.75" customHeight="1">
      <c r="A278" s="2"/>
    </row>
    <row r="279" ht="15.75" customHeight="1">
      <c r="A279" s="2"/>
    </row>
    <row r="280" ht="15.75" customHeight="1">
      <c r="A280" s="2"/>
    </row>
    <row r="281" ht="15.75" customHeight="1">
      <c r="A281" s="2"/>
    </row>
    <row r="282" ht="15.75" customHeight="1">
      <c r="A282" s="2"/>
    </row>
    <row r="283" ht="15.75" customHeight="1">
      <c r="A283" s="2"/>
    </row>
    <row r="284" ht="15.75" customHeight="1">
      <c r="A284" s="2"/>
    </row>
    <row r="285" ht="15.75" customHeight="1">
      <c r="A285" s="2"/>
    </row>
    <row r="286" ht="15.75" customHeight="1">
      <c r="A286" s="2"/>
    </row>
    <row r="287" ht="15.75" customHeight="1">
      <c r="A287" s="2"/>
    </row>
    <row r="288" ht="15.75" customHeight="1">
      <c r="A288" s="2"/>
    </row>
    <row r="289" ht="15.75" customHeight="1">
      <c r="A289" s="2"/>
    </row>
    <row r="290" ht="15.75" customHeight="1">
      <c r="A290" s="2"/>
    </row>
    <row r="291" ht="15.75" customHeight="1">
      <c r="A291" s="2"/>
    </row>
    <row r="292" ht="15.75" customHeight="1">
      <c r="A292" s="2"/>
    </row>
    <row r="293" ht="15.75" customHeight="1">
      <c r="A293" s="2"/>
    </row>
    <row r="294" ht="15.75" customHeight="1">
      <c r="A294" s="2"/>
    </row>
    <row r="295" ht="15.75" customHeight="1">
      <c r="A295" s="2"/>
    </row>
    <row r="296" ht="15.75" customHeight="1">
      <c r="A296" s="2"/>
    </row>
    <row r="297" ht="15.75" customHeight="1">
      <c r="A297" s="2"/>
    </row>
    <row r="298" ht="15.75" customHeight="1">
      <c r="A298" s="2"/>
    </row>
    <row r="299" ht="15.75" customHeight="1">
      <c r="A299" s="2"/>
    </row>
    <row r="300" ht="15.75" customHeight="1">
      <c r="A300" s="2"/>
    </row>
    <row r="301" ht="15.75" customHeight="1">
      <c r="A301" s="2"/>
    </row>
    <row r="302" ht="15.75" customHeight="1">
      <c r="A302" s="2"/>
    </row>
    <row r="303" ht="15.75" customHeight="1">
      <c r="A303" s="2"/>
    </row>
    <row r="304" ht="15.75" customHeight="1">
      <c r="A304" s="2"/>
    </row>
    <row r="305" ht="15.75" customHeight="1">
      <c r="A305" s="2"/>
    </row>
    <row r="306" ht="15.75" customHeight="1">
      <c r="A306" s="2"/>
    </row>
    <row r="307" ht="15.75" customHeight="1">
      <c r="A307" s="2"/>
    </row>
    <row r="308" ht="15.75" customHeight="1">
      <c r="A308" s="2"/>
    </row>
    <row r="309" ht="15.75" customHeight="1">
      <c r="A309" s="2"/>
    </row>
    <row r="310" ht="15.75" customHeight="1">
      <c r="A310" s="2"/>
    </row>
    <row r="311" ht="15.75" customHeight="1">
      <c r="A311" s="2"/>
    </row>
    <row r="312" ht="15.75" customHeight="1">
      <c r="A312" s="2"/>
    </row>
    <row r="313" ht="15.75" customHeight="1">
      <c r="A313" s="2"/>
    </row>
    <row r="314" ht="15.75" customHeight="1">
      <c r="A314" s="2"/>
    </row>
    <row r="315" ht="15.75" customHeight="1">
      <c r="A315" s="2"/>
    </row>
    <row r="316" ht="15.75" customHeight="1">
      <c r="A316" s="2"/>
    </row>
    <row r="317" ht="15.75" customHeight="1">
      <c r="A317" s="2"/>
    </row>
    <row r="318" ht="15.75" customHeight="1">
      <c r="A318" s="2"/>
    </row>
    <row r="319" ht="15.75" customHeight="1">
      <c r="A319" s="2"/>
    </row>
    <row r="320" ht="15.75" customHeight="1">
      <c r="A320" s="2"/>
    </row>
    <row r="321" ht="15.75" customHeight="1">
      <c r="A321" s="2"/>
    </row>
    <row r="322" ht="15.75" customHeight="1">
      <c r="A322" s="2"/>
    </row>
    <row r="323" ht="15.75" customHeight="1">
      <c r="A323" s="2"/>
    </row>
    <row r="324" ht="15.75" customHeight="1">
      <c r="A324" s="2"/>
    </row>
    <row r="325" ht="15.75" customHeight="1">
      <c r="A325" s="2"/>
    </row>
    <row r="326" ht="15.75" customHeight="1">
      <c r="A326" s="2"/>
    </row>
    <row r="327" ht="15.75" customHeight="1">
      <c r="A327" s="2"/>
    </row>
    <row r="328" ht="15.75" customHeight="1">
      <c r="A328" s="2"/>
    </row>
    <row r="329" ht="15.75" customHeight="1">
      <c r="A329" s="2"/>
    </row>
    <row r="330" ht="15.75" customHeight="1">
      <c r="A330" s="2"/>
    </row>
    <row r="331" ht="15.75" customHeight="1">
      <c r="A331" s="2"/>
    </row>
    <row r="332" ht="15.75" customHeight="1">
      <c r="A332" s="2"/>
    </row>
    <row r="333" ht="15.75" customHeight="1">
      <c r="A333" s="2"/>
    </row>
    <row r="334" ht="15.75" customHeight="1">
      <c r="A334" s="2"/>
    </row>
    <row r="335" ht="15.75" customHeight="1">
      <c r="A335" s="2"/>
    </row>
    <row r="336" ht="15.75" customHeight="1">
      <c r="A336" s="2"/>
    </row>
    <row r="337" ht="15.75" customHeight="1">
      <c r="A337" s="2"/>
    </row>
    <row r="338" ht="15.75" customHeight="1">
      <c r="A338" s="2"/>
    </row>
    <row r="339" ht="15.75" customHeight="1">
      <c r="A339" s="2"/>
    </row>
    <row r="340" ht="15.75" customHeight="1">
      <c r="A340" s="2"/>
    </row>
    <row r="341" ht="15.75" customHeight="1">
      <c r="A341" s="2"/>
    </row>
    <row r="342" ht="15.75" customHeight="1">
      <c r="A342" s="2"/>
    </row>
    <row r="343" ht="15.75" customHeight="1">
      <c r="A343" s="2"/>
    </row>
    <row r="344" ht="15.75" customHeight="1">
      <c r="A344" s="2"/>
    </row>
    <row r="345" ht="15.75" customHeight="1">
      <c r="A345" s="2"/>
    </row>
    <row r="346" ht="15.75" customHeight="1">
      <c r="A346" s="2"/>
    </row>
    <row r="347" ht="15.75" customHeight="1">
      <c r="A347" s="2"/>
    </row>
    <row r="348" ht="15.75" customHeight="1">
      <c r="A348" s="2"/>
    </row>
    <row r="349" ht="15.75" customHeight="1">
      <c r="A349" s="2"/>
    </row>
    <row r="350" ht="15.75" customHeight="1">
      <c r="A350" s="2"/>
    </row>
    <row r="351" ht="15.75" customHeight="1">
      <c r="A351" s="2"/>
    </row>
    <row r="352" ht="15.75" customHeight="1">
      <c r="A352" s="2"/>
    </row>
    <row r="353" ht="15.75" customHeight="1">
      <c r="A353" s="2"/>
    </row>
    <row r="354" ht="15.75" customHeight="1">
      <c r="A354" s="2"/>
    </row>
    <row r="355" ht="15.75" customHeight="1">
      <c r="A355" s="2"/>
    </row>
    <row r="356" ht="15.75" customHeight="1">
      <c r="A356" s="2"/>
    </row>
    <row r="357" ht="15.75" customHeight="1">
      <c r="A357" s="2"/>
    </row>
    <row r="358" ht="15.75" customHeight="1">
      <c r="A358" s="2"/>
    </row>
    <row r="359" ht="15.75" customHeight="1">
      <c r="A359" s="2"/>
    </row>
    <row r="360" ht="15.75" customHeight="1">
      <c r="A360" s="2"/>
    </row>
    <row r="361" ht="15.75" customHeight="1">
      <c r="A361" s="2"/>
    </row>
    <row r="362" ht="15.75" customHeight="1">
      <c r="A362" s="2"/>
    </row>
    <row r="363" ht="15.75" customHeight="1">
      <c r="A363" s="2"/>
    </row>
    <row r="364" ht="15.75" customHeight="1">
      <c r="A364" s="2"/>
    </row>
    <row r="365" ht="15.75" customHeight="1">
      <c r="A365" s="2"/>
    </row>
    <row r="366" ht="15.75" customHeight="1">
      <c r="A366" s="2"/>
    </row>
    <row r="367" ht="15.75" customHeight="1">
      <c r="A367" s="2"/>
    </row>
    <row r="368" ht="15.75" customHeight="1">
      <c r="A368" s="2"/>
    </row>
    <row r="369" ht="15.75" customHeight="1">
      <c r="A369" s="2"/>
    </row>
    <row r="370" ht="15.75" customHeight="1">
      <c r="A370" s="2"/>
    </row>
    <row r="371" ht="15.75" customHeight="1">
      <c r="A371" s="2"/>
    </row>
    <row r="372" ht="15.75" customHeight="1">
      <c r="A372" s="2"/>
    </row>
    <row r="373" ht="15.75" customHeight="1">
      <c r="A373" s="2"/>
    </row>
    <row r="374" ht="15.75" customHeight="1">
      <c r="A374" s="2"/>
    </row>
    <row r="375" ht="15.75" customHeight="1">
      <c r="A375" s="2"/>
    </row>
    <row r="376" ht="15.75" customHeight="1">
      <c r="A376" s="2"/>
    </row>
    <row r="377" ht="15.75" customHeight="1">
      <c r="A377" s="2"/>
    </row>
    <row r="378" ht="15.75" customHeight="1">
      <c r="A378" s="2"/>
    </row>
    <row r="379" ht="15.75" customHeight="1">
      <c r="A379" s="2"/>
    </row>
    <row r="380" ht="15.75" customHeight="1">
      <c r="A380" s="2"/>
    </row>
    <row r="381" ht="15.75" customHeight="1">
      <c r="A381" s="2"/>
    </row>
    <row r="382" ht="15.75" customHeight="1">
      <c r="A382" s="2"/>
    </row>
    <row r="383" ht="15.75" customHeight="1">
      <c r="A383" s="2"/>
    </row>
    <row r="384" ht="15.75" customHeight="1">
      <c r="A384" s="2"/>
    </row>
    <row r="385" ht="15.75" customHeight="1">
      <c r="A385" s="2"/>
    </row>
    <row r="386" ht="15.75" customHeight="1">
      <c r="A386" s="2"/>
    </row>
    <row r="387" ht="15.75" customHeight="1">
      <c r="A387" s="2"/>
    </row>
    <row r="388" ht="15.75" customHeight="1">
      <c r="A388" s="2"/>
    </row>
    <row r="389" ht="15.75" customHeight="1">
      <c r="A389" s="2"/>
    </row>
    <row r="390" ht="15.75" customHeight="1">
      <c r="A390" s="2"/>
    </row>
    <row r="391" ht="15.75" customHeight="1">
      <c r="A391" s="2"/>
    </row>
    <row r="392" ht="15.75" customHeight="1">
      <c r="A392" s="2"/>
    </row>
    <row r="393" ht="15.75" customHeight="1">
      <c r="A393" s="2"/>
    </row>
    <row r="394" ht="15.75" customHeight="1">
      <c r="A394" s="2"/>
    </row>
    <row r="395" ht="15.75" customHeight="1">
      <c r="A395" s="2"/>
    </row>
    <row r="396" ht="15.75" customHeight="1">
      <c r="A396" s="2"/>
    </row>
    <row r="397" ht="15.75" customHeight="1">
      <c r="A397" s="2"/>
    </row>
    <row r="398" ht="15.75" customHeight="1">
      <c r="A398" s="2"/>
    </row>
    <row r="399" ht="15.75" customHeight="1">
      <c r="A399" s="2"/>
    </row>
    <row r="400" ht="15.75" customHeight="1">
      <c r="A400" s="2"/>
    </row>
    <row r="401" ht="15.75" customHeight="1">
      <c r="A401" s="2"/>
    </row>
    <row r="402" ht="15.75" customHeight="1">
      <c r="A402" s="2"/>
    </row>
    <row r="403" ht="15.75" customHeight="1">
      <c r="A403" s="2"/>
    </row>
    <row r="404" ht="15.75" customHeight="1">
      <c r="A404" s="2"/>
    </row>
    <row r="405" ht="15.75" customHeight="1">
      <c r="A405" s="2"/>
    </row>
    <row r="406" ht="15.75" customHeight="1">
      <c r="A406" s="2"/>
    </row>
    <row r="407" ht="15.75" customHeight="1">
      <c r="A407" s="2"/>
    </row>
    <row r="408" ht="15.75" customHeight="1">
      <c r="A408" s="2"/>
    </row>
    <row r="409" ht="15.75" customHeight="1">
      <c r="A409" s="2"/>
    </row>
    <row r="410" ht="15.75" customHeight="1">
      <c r="A410" s="2"/>
    </row>
    <row r="411" ht="15.75" customHeight="1">
      <c r="A411" s="2"/>
    </row>
    <row r="412" ht="15.75" customHeight="1">
      <c r="A412" s="2"/>
    </row>
    <row r="413" ht="15.75" customHeight="1">
      <c r="A413" s="2"/>
    </row>
    <row r="414" ht="15.75" customHeight="1">
      <c r="A414" s="2"/>
    </row>
    <row r="415" ht="15.75" customHeight="1">
      <c r="A415" s="2"/>
    </row>
    <row r="416" ht="15.75" customHeight="1">
      <c r="A416" s="2"/>
    </row>
    <row r="417" ht="15.75" customHeight="1">
      <c r="A417" s="2"/>
    </row>
    <row r="418" ht="15.75" customHeight="1">
      <c r="A418" s="2"/>
    </row>
    <row r="419" ht="15.75" customHeight="1">
      <c r="A419" s="2"/>
    </row>
    <row r="420" ht="15.75" customHeight="1">
      <c r="A420" s="2"/>
    </row>
    <row r="421" ht="15.75" customHeight="1">
      <c r="A421" s="2"/>
    </row>
    <row r="422" ht="15.75" customHeight="1">
      <c r="A422" s="2"/>
    </row>
    <row r="423" ht="15.75" customHeight="1">
      <c r="A423" s="2"/>
    </row>
    <row r="424" ht="15.75" customHeight="1">
      <c r="A424" s="2"/>
    </row>
    <row r="425" ht="15.75" customHeight="1">
      <c r="A425" s="2"/>
    </row>
    <row r="426" ht="15.75" customHeight="1">
      <c r="A426" s="2"/>
    </row>
    <row r="427" ht="15.75" customHeight="1">
      <c r="A427" s="2"/>
    </row>
    <row r="428" ht="15.75" customHeight="1">
      <c r="A428" s="2"/>
    </row>
    <row r="429" ht="15.75" customHeight="1">
      <c r="A429" s="2"/>
    </row>
    <row r="430" ht="15.75" customHeight="1">
      <c r="A430" s="2"/>
    </row>
    <row r="431" ht="15.75" customHeight="1">
      <c r="A431" s="2"/>
    </row>
    <row r="432" ht="15.75" customHeight="1">
      <c r="A432" s="2"/>
    </row>
    <row r="433" ht="15.75" customHeight="1">
      <c r="A433" s="2"/>
    </row>
    <row r="434" ht="15.75" customHeight="1">
      <c r="A434" s="2"/>
    </row>
    <row r="435" ht="15.75" customHeight="1">
      <c r="A435" s="2"/>
    </row>
    <row r="436" ht="15.75" customHeight="1">
      <c r="A436" s="2"/>
    </row>
    <row r="437" ht="15.75" customHeight="1">
      <c r="A437" s="2"/>
    </row>
    <row r="438" ht="15.75" customHeight="1">
      <c r="A438" s="2"/>
    </row>
    <row r="439" ht="15.75" customHeight="1">
      <c r="A439" s="2"/>
    </row>
    <row r="440" ht="15.75" customHeight="1">
      <c r="A440" s="2"/>
    </row>
    <row r="441" ht="15.75" customHeight="1">
      <c r="A441" s="2"/>
    </row>
    <row r="442" ht="15.75" customHeight="1">
      <c r="A442" s="2"/>
    </row>
    <row r="443" ht="15.75" customHeight="1">
      <c r="A443" s="2"/>
    </row>
    <row r="444" ht="15.75" customHeight="1">
      <c r="A444" s="2"/>
    </row>
    <row r="445" ht="15.75" customHeight="1">
      <c r="A445" s="2"/>
    </row>
    <row r="446" ht="15.75" customHeight="1">
      <c r="A446" s="2"/>
    </row>
    <row r="447" ht="15.75" customHeight="1">
      <c r="A447" s="2"/>
    </row>
    <row r="448" ht="15.75" customHeight="1">
      <c r="A448" s="2"/>
    </row>
    <row r="449" ht="15.75" customHeight="1">
      <c r="A449" s="2"/>
    </row>
    <row r="450" ht="15.75" customHeight="1">
      <c r="A450" s="2"/>
    </row>
    <row r="451" ht="15.75" customHeight="1">
      <c r="A451" s="2"/>
    </row>
    <row r="452" ht="15.75" customHeight="1">
      <c r="A452" s="2"/>
    </row>
    <row r="453" ht="15.75" customHeight="1">
      <c r="A453" s="2"/>
    </row>
    <row r="454" ht="15.75" customHeight="1">
      <c r="A454" s="2"/>
    </row>
    <row r="455" ht="15.75" customHeight="1">
      <c r="A455" s="2"/>
    </row>
    <row r="456" ht="15.75" customHeight="1">
      <c r="A456" s="2"/>
    </row>
    <row r="457" ht="15.75" customHeight="1">
      <c r="A457" s="2"/>
    </row>
    <row r="458" ht="15.75" customHeight="1">
      <c r="A458" s="2"/>
    </row>
    <row r="459" ht="15.75" customHeight="1">
      <c r="A459" s="2"/>
    </row>
    <row r="460" ht="15.75" customHeight="1">
      <c r="A460" s="2"/>
    </row>
    <row r="461" ht="15.75" customHeight="1">
      <c r="A461" s="2"/>
    </row>
    <row r="462" ht="15.75" customHeight="1">
      <c r="A462" s="2"/>
    </row>
    <row r="463" ht="15.75" customHeight="1">
      <c r="A463" s="2"/>
    </row>
    <row r="464" ht="15.75" customHeight="1">
      <c r="A464" s="2"/>
    </row>
    <row r="465" ht="15.75" customHeight="1">
      <c r="A465" s="2"/>
    </row>
    <row r="466" ht="15.75" customHeight="1">
      <c r="A466" s="2"/>
    </row>
    <row r="467" ht="15.75" customHeight="1">
      <c r="A467" s="2"/>
    </row>
    <row r="468" ht="15.75" customHeight="1">
      <c r="A468" s="2"/>
    </row>
    <row r="469" ht="15.75" customHeight="1">
      <c r="A469" s="2"/>
    </row>
    <row r="470" ht="15.75" customHeight="1">
      <c r="A470" s="2"/>
    </row>
    <row r="471" ht="15.75" customHeight="1">
      <c r="A471" s="2"/>
    </row>
    <row r="472" ht="15.75" customHeight="1">
      <c r="A472" s="2"/>
    </row>
    <row r="473" ht="15.75" customHeight="1">
      <c r="A473" s="2"/>
    </row>
    <row r="474" ht="15.75" customHeight="1">
      <c r="A474" s="2"/>
    </row>
    <row r="475" ht="15.75" customHeight="1">
      <c r="A475" s="2"/>
    </row>
    <row r="476" ht="15.75" customHeight="1">
      <c r="A476" s="2"/>
    </row>
    <row r="477" ht="15.75" customHeight="1">
      <c r="A477" s="2"/>
    </row>
    <row r="478" ht="15.75" customHeight="1">
      <c r="A478" s="2"/>
    </row>
    <row r="479" ht="15.75" customHeight="1">
      <c r="A479" s="2"/>
    </row>
    <row r="480" ht="15.75" customHeight="1">
      <c r="A480" s="2"/>
    </row>
    <row r="481" ht="15.75" customHeight="1">
      <c r="A481" s="2"/>
    </row>
    <row r="482" ht="15.75" customHeight="1">
      <c r="A482" s="2"/>
    </row>
    <row r="483" ht="15.75" customHeight="1">
      <c r="A483" s="2"/>
    </row>
    <row r="484" ht="15.75" customHeight="1">
      <c r="A484" s="2"/>
    </row>
    <row r="485" ht="15.75" customHeight="1">
      <c r="A485" s="2"/>
    </row>
    <row r="486" ht="15.75" customHeight="1">
      <c r="A486" s="2"/>
    </row>
    <row r="487" ht="15.75" customHeight="1">
      <c r="A487" s="2"/>
    </row>
    <row r="488" ht="15.75" customHeight="1">
      <c r="A488" s="2"/>
    </row>
    <row r="489" ht="15.75" customHeight="1">
      <c r="A489" s="2"/>
    </row>
    <row r="490" ht="15.75" customHeight="1">
      <c r="A490" s="2"/>
    </row>
    <row r="491" ht="15.75" customHeight="1">
      <c r="A491" s="2"/>
    </row>
    <row r="492" ht="15.75" customHeight="1">
      <c r="A492" s="2"/>
    </row>
    <row r="493" ht="15.75" customHeight="1">
      <c r="A493" s="2"/>
    </row>
    <row r="494" ht="15.75" customHeight="1">
      <c r="A494" s="2"/>
    </row>
    <row r="495" ht="15.75" customHeight="1">
      <c r="A495" s="2"/>
    </row>
    <row r="496" ht="15.75" customHeight="1">
      <c r="A496" s="2"/>
    </row>
    <row r="497" ht="15.75" customHeight="1">
      <c r="A497" s="2"/>
    </row>
    <row r="498" ht="15.75" customHeight="1">
      <c r="A498" s="2"/>
    </row>
    <row r="499" ht="15.75" customHeight="1">
      <c r="A499" s="2"/>
    </row>
    <row r="500" ht="15.75" customHeight="1">
      <c r="A500" s="2"/>
    </row>
    <row r="501" ht="15.75" customHeight="1">
      <c r="A501" s="2"/>
    </row>
    <row r="502" ht="15.75" customHeight="1">
      <c r="A502" s="2"/>
    </row>
    <row r="503" ht="15.75" customHeight="1">
      <c r="A503" s="2"/>
    </row>
    <row r="504" ht="15.75" customHeight="1">
      <c r="A504" s="2"/>
    </row>
    <row r="505" ht="15.75" customHeight="1">
      <c r="A505" s="2"/>
    </row>
    <row r="506" ht="15.75" customHeight="1">
      <c r="A506" s="2"/>
    </row>
    <row r="507" ht="15.75" customHeight="1">
      <c r="A507" s="2"/>
    </row>
    <row r="508" ht="15.75" customHeight="1">
      <c r="A508" s="2"/>
    </row>
    <row r="509" ht="15.75" customHeight="1">
      <c r="A509" s="2"/>
    </row>
    <row r="510" ht="15.75" customHeight="1">
      <c r="A510" s="2"/>
    </row>
    <row r="511" ht="15.75" customHeight="1">
      <c r="A511" s="2"/>
    </row>
    <row r="512" ht="15.75" customHeight="1">
      <c r="A512" s="2"/>
    </row>
    <row r="513" ht="15.75" customHeight="1">
      <c r="A513" s="2"/>
    </row>
    <row r="514" ht="15.75" customHeight="1">
      <c r="A514" s="2"/>
    </row>
    <row r="515" ht="15.75" customHeight="1">
      <c r="A515" s="2"/>
    </row>
    <row r="516" ht="15.75" customHeight="1">
      <c r="A516" s="2"/>
    </row>
    <row r="517" ht="15.75" customHeight="1">
      <c r="A517" s="2"/>
    </row>
    <row r="518" ht="15.75" customHeight="1">
      <c r="A518" s="2"/>
    </row>
    <row r="519" ht="15.75" customHeight="1">
      <c r="A519" s="2"/>
    </row>
    <row r="520" ht="15.75" customHeight="1">
      <c r="A520" s="2"/>
    </row>
    <row r="521" ht="15.75" customHeight="1">
      <c r="A521" s="2"/>
    </row>
    <row r="522" ht="15.75" customHeight="1">
      <c r="A522" s="2"/>
    </row>
    <row r="523" ht="15.75" customHeight="1">
      <c r="A523" s="2"/>
    </row>
    <row r="524" ht="15.75" customHeight="1">
      <c r="A524" s="2"/>
    </row>
    <row r="525" ht="15.75" customHeight="1">
      <c r="A525" s="2"/>
    </row>
    <row r="526" ht="15.75" customHeight="1">
      <c r="A526" s="2"/>
    </row>
    <row r="527" ht="15.75" customHeight="1">
      <c r="A527" s="2"/>
    </row>
    <row r="528" ht="15.75" customHeight="1">
      <c r="A528" s="2"/>
    </row>
    <row r="529" ht="15.75" customHeight="1">
      <c r="A529" s="2"/>
    </row>
    <row r="530" ht="15.75" customHeight="1">
      <c r="A530" s="2"/>
    </row>
    <row r="531" ht="15.75" customHeight="1">
      <c r="A531" s="2"/>
    </row>
    <row r="532" ht="15.75" customHeight="1">
      <c r="A532" s="2"/>
    </row>
    <row r="533" ht="15.75" customHeight="1">
      <c r="A533" s="2"/>
    </row>
    <row r="534" ht="15.75" customHeight="1">
      <c r="A534" s="2"/>
    </row>
    <row r="535" ht="15.75" customHeight="1">
      <c r="A535" s="2"/>
    </row>
    <row r="536" ht="15.75" customHeight="1">
      <c r="A536" s="2"/>
    </row>
    <row r="537" ht="15.75" customHeight="1">
      <c r="A537" s="2"/>
    </row>
    <row r="538" ht="15.75" customHeight="1">
      <c r="A538" s="2"/>
    </row>
    <row r="539" ht="15.75" customHeight="1">
      <c r="A539" s="2"/>
    </row>
    <row r="540" ht="15.75" customHeight="1">
      <c r="A540" s="2"/>
    </row>
    <row r="541" ht="15.75" customHeight="1">
      <c r="A541" s="2"/>
    </row>
    <row r="542" ht="15.75" customHeight="1">
      <c r="A542" s="2"/>
    </row>
    <row r="543" ht="15.75" customHeight="1">
      <c r="A543" s="2"/>
    </row>
    <row r="544" ht="15.75" customHeight="1">
      <c r="A544" s="2"/>
    </row>
    <row r="545" ht="15.75" customHeight="1">
      <c r="A545" s="2"/>
    </row>
    <row r="546" ht="15.75" customHeight="1">
      <c r="A546" s="2"/>
    </row>
    <row r="547" ht="15.75" customHeight="1">
      <c r="A547" s="2"/>
    </row>
    <row r="548" ht="15.75" customHeight="1">
      <c r="A548" s="2"/>
    </row>
    <row r="549" ht="15.75" customHeight="1">
      <c r="A549" s="2"/>
    </row>
    <row r="550" ht="15.75" customHeight="1">
      <c r="A550" s="2"/>
    </row>
    <row r="551" ht="15.75" customHeight="1">
      <c r="A551" s="2"/>
    </row>
    <row r="552" ht="15.75" customHeight="1">
      <c r="A552" s="2"/>
    </row>
    <row r="553" ht="15.75" customHeight="1">
      <c r="A553" s="2"/>
    </row>
    <row r="554" ht="15.75" customHeight="1">
      <c r="A554" s="2"/>
    </row>
    <row r="555" ht="15.75" customHeight="1">
      <c r="A555" s="2"/>
    </row>
    <row r="556" ht="15.75" customHeight="1">
      <c r="A556" s="2"/>
    </row>
    <row r="557" ht="15.75" customHeight="1">
      <c r="A557" s="2"/>
    </row>
    <row r="558" ht="15.75" customHeight="1">
      <c r="A558" s="2"/>
    </row>
    <row r="559" ht="15.75" customHeight="1">
      <c r="A559" s="2"/>
    </row>
    <row r="560" ht="15.75" customHeight="1">
      <c r="A560" s="2"/>
    </row>
    <row r="561" ht="15.75" customHeight="1">
      <c r="A561" s="2"/>
    </row>
    <row r="562" ht="15.75" customHeight="1">
      <c r="A562" s="2"/>
    </row>
    <row r="563" ht="15.75" customHeight="1">
      <c r="A563" s="2"/>
    </row>
    <row r="564" ht="15.75" customHeight="1">
      <c r="A564" s="2"/>
    </row>
    <row r="565" ht="15.75" customHeight="1">
      <c r="A565" s="2"/>
    </row>
    <row r="566" ht="15.75" customHeight="1">
      <c r="A566" s="2"/>
    </row>
    <row r="567" ht="15.75" customHeight="1">
      <c r="A567" s="2"/>
    </row>
    <row r="568" ht="15.75" customHeight="1">
      <c r="A568" s="2"/>
    </row>
    <row r="569" ht="15.75" customHeight="1">
      <c r="A569" s="2"/>
    </row>
    <row r="570" ht="15.75" customHeight="1">
      <c r="A570" s="2"/>
    </row>
    <row r="571" ht="15.75" customHeight="1">
      <c r="A571" s="2"/>
    </row>
    <row r="572" ht="15.75" customHeight="1">
      <c r="A572" s="2"/>
    </row>
    <row r="573" ht="15.75" customHeight="1">
      <c r="A573" s="2"/>
    </row>
    <row r="574" ht="15.75" customHeight="1">
      <c r="A574" s="2"/>
    </row>
    <row r="575" ht="15.75" customHeight="1">
      <c r="A575" s="2"/>
    </row>
    <row r="576" ht="15.75" customHeight="1">
      <c r="A576" s="2"/>
    </row>
    <row r="577" ht="15.75" customHeight="1">
      <c r="A577" s="2"/>
    </row>
    <row r="578" ht="15.75" customHeight="1">
      <c r="A578" s="2"/>
    </row>
    <row r="579" ht="15.75" customHeight="1">
      <c r="A579" s="2"/>
    </row>
    <row r="580" ht="15.75" customHeight="1">
      <c r="A580" s="2"/>
    </row>
    <row r="581" ht="15.75" customHeight="1">
      <c r="A581" s="2"/>
    </row>
    <row r="582" ht="15.75" customHeight="1">
      <c r="A582" s="2"/>
    </row>
    <row r="583" ht="15.75" customHeight="1">
      <c r="A583" s="2"/>
    </row>
    <row r="584" ht="15.75" customHeight="1">
      <c r="A584" s="2"/>
    </row>
    <row r="585" ht="15.75" customHeight="1">
      <c r="A585" s="2"/>
    </row>
    <row r="586" ht="15.75" customHeight="1">
      <c r="A586" s="2"/>
    </row>
    <row r="587" ht="15.75" customHeight="1">
      <c r="A587" s="2"/>
    </row>
    <row r="588" ht="15.75" customHeight="1">
      <c r="A588" s="2"/>
    </row>
    <row r="589" ht="15.75" customHeight="1">
      <c r="A589" s="2"/>
    </row>
    <row r="590" ht="15.75" customHeight="1">
      <c r="A590" s="2"/>
    </row>
    <row r="591" ht="15.75" customHeight="1">
      <c r="A591" s="2"/>
    </row>
    <row r="592" ht="15.75" customHeight="1">
      <c r="A592" s="2"/>
    </row>
    <row r="593" ht="15.75" customHeight="1">
      <c r="A593" s="2"/>
    </row>
    <row r="594" ht="15.75" customHeight="1">
      <c r="A594" s="2"/>
    </row>
    <row r="595" ht="15.75" customHeight="1">
      <c r="A595" s="2"/>
    </row>
    <row r="596" ht="15.75" customHeight="1">
      <c r="A596" s="2"/>
    </row>
    <row r="597" ht="15.75" customHeight="1">
      <c r="A597" s="2"/>
    </row>
    <row r="598" ht="15.75" customHeight="1">
      <c r="A598" s="2"/>
    </row>
    <row r="599" ht="15.75" customHeight="1">
      <c r="A599" s="2"/>
    </row>
    <row r="600" ht="15.75" customHeight="1">
      <c r="A600" s="2"/>
    </row>
    <row r="601" ht="15.75" customHeight="1">
      <c r="A601" s="2"/>
    </row>
    <row r="602" ht="15.75" customHeight="1">
      <c r="A602" s="2"/>
    </row>
    <row r="603" ht="15.75" customHeight="1">
      <c r="A603" s="2"/>
    </row>
    <row r="604" ht="15.75" customHeight="1">
      <c r="A604" s="2"/>
    </row>
    <row r="605" ht="15.75" customHeight="1">
      <c r="A605" s="2"/>
    </row>
    <row r="606" ht="15.75" customHeight="1">
      <c r="A606" s="2"/>
    </row>
    <row r="607" ht="15.75" customHeight="1">
      <c r="A607" s="2"/>
    </row>
    <row r="608" ht="15.75" customHeight="1">
      <c r="A608" s="2"/>
    </row>
    <row r="609" ht="15.75" customHeight="1">
      <c r="A609" s="2"/>
    </row>
    <row r="610" ht="15.75" customHeight="1">
      <c r="A610" s="2"/>
    </row>
    <row r="611" ht="15.75" customHeight="1">
      <c r="A611" s="2"/>
    </row>
    <row r="612" ht="15.75" customHeight="1">
      <c r="A612" s="2"/>
    </row>
    <row r="613" ht="15.75" customHeight="1">
      <c r="A613" s="2"/>
    </row>
    <row r="614" ht="15.75" customHeight="1">
      <c r="A614" s="2"/>
    </row>
    <row r="615" ht="15.75" customHeight="1">
      <c r="A615" s="2"/>
    </row>
    <row r="616" ht="15.75" customHeight="1">
      <c r="A616" s="2"/>
    </row>
    <row r="617" ht="15.75" customHeight="1">
      <c r="A617" s="2"/>
    </row>
    <row r="618" ht="15.75" customHeight="1">
      <c r="A618" s="2"/>
    </row>
    <row r="619" ht="15.75" customHeight="1">
      <c r="A619" s="2"/>
    </row>
    <row r="620" ht="15.75" customHeight="1">
      <c r="A620" s="2"/>
    </row>
    <row r="621" ht="15.75" customHeight="1">
      <c r="A621" s="2"/>
    </row>
    <row r="622" ht="15.75" customHeight="1">
      <c r="A622" s="2"/>
    </row>
    <row r="623" ht="15.75" customHeight="1">
      <c r="A623" s="2"/>
    </row>
    <row r="624" ht="15.75" customHeight="1">
      <c r="A624" s="2"/>
    </row>
    <row r="625" ht="15.75" customHeight="1">
      <c r="A625" s="2"/>
    </row>
    <row r="626" ht="15.75" customHeight="1">
      <c r="A626" s="2"/>
    </row>
    <row r="627" ht="15.75" customHeight="1">
      <c r="A627" s="2"/>
    </row>
    <row r="628" ht="15.75" customHeight="1">
      <c r="A628" s="2"/>
    </row>
    <row r="629" ht="15.75" customHeight="1">
      <c r="A629" s="2"/>
    </row>
    <row r="630" ht="15.75" customHeight="1">
      <c r="A630" s="2"/>
    </row>
    <row r="631" ht="15.75" customHeight="1">
      <c r="A631" s="2"/>
    </row>
    <row r="632" ht="15.75" customHeight="1">
      <c r="A632" s="2"/>
    </row>
    <row r="633" ht="15.75" customHeight="1">
      <c r="A633" s="2"/>
    </row>
    <row r="634" ht="15.75" customHeight="1">
      <c r="A634" s="2"/>
    </row>
    <row r="635" ht="15.75" customHeight="1">
      <c r="A635" s="2"/>
    </row>
    <row r="636" ht="15.75" customHeight="1">
      <c r="A636" s="2"/>
    </row>
    <row r="637" ht="15.75" customHeight="1">
      <c r="A637" s="2"/>
    </row>
    <row r="638" ht="15.75" customHeight="1">
      <c r="A638" s="2"/>
    </row>
    <row r="639" ht="15.75" customHeight="1">
      <c r="A639" s="2"/>
    </row>
    <row r="640" ht="15.75" customHeight="1">
      <c r="A640" s="2"/>
    </row>
    <row r="641" ht="15.75" customHeight="1">
      <c r="A641" s="2"/>
    </row>
    <row r="642" ht="15.75" customHeight="1">
      <c r="A642" s="2"/>
    </row>
    <row r="643" ht="15.75" customHeight="1">
      <c r="A643" s="2"/>
    </row>
    <row r="644" ht="15.75" customHeight="1">
      <c r="A644" s="2"/>
    </row>
    <row r="645" ht="15.75" customHeight="1">
      <c r="A645" s="2"/>
    </row>
    <row r="646" ht="15.75" customHeight="1">
      <c r="A646" s="2"/>
    </row>
    <row r="647" ht="15.75" customHeight="1">
      <c r="A647" s="2"/>
    </row>
    <row r="648" ht="15.75" customHeight="1">
      <c r="A648" s="2"/>
    </row>
    <row r="649" ht="15.75" customHeight="1">
      <c r="A649" s="2"/>
    </row>
    <row r="650" ht="15.75" customHeight="1">
      <c r="A650" s="2"/>
    </row>
    <row r="651" ht="15.75" customHeight="1">
      <c r="A651" s="2"/>
    </row>
    <row r="652" ht="15.75" customHeight="1">
      <c r="A652" s="2"/>
    </row>
    <row r="653" ht="15.75" customHeight="1">
      <c r="A653" s="2"/>
    </row>
    <row r="654" ht="15.75" customHeight="1">
      <c r="A654" s="2"/>
    </row>
    <row r="655" ht="15.75" customHeight="1">
      <c r="A655" s="2"/>
    </row>
    <row r="656" ht="15.75" customHeight="1">
      <c r="A656" s="2"/>
    </row>
    <row r="657" ht="15.75" customHeight="1">
      <c r="A657" s="2"/>
    </row>
    <row r="658" ht="15.75" customHeight="1">
      <c r="A658" s="2"/>
    </row>
    <row r="659" ht="15.75" customHeight="1">
      <c r="A659" s="2"/>
    </row>
    <row r="660" ht="15.75" customHeight="1">
      <c r="A660" s="2"/>
    </row>
    <row r="661" ht="15.75" customHeight="1">
      <c r="A661" s="2"/>
    </row>
    <row r="662" ht="15.75" customHeight="1">
      <c r="A662" s="2"/>
    </row>
    <row r="663" ht="15.75" customHeight="1">
      <c r="A663" s="2"/>
    </row>
    <row r="664" ht="15.75" customHeight="1">
      <c r="A664" s="2"/>
    </row>
    <row r="665" ht="15.75" customHeight="1">
      <c r="A665" s="2"/>
    </row>
    <row r="666" ht="15.75" customHeight="1">
      <c r="A666" s="2"/>
    </row>
    <row r="667" ht="15.75" customHeight="1">
      <c r="A667" s="2"/>
    </row>
    <row r="668" ht="15.75" customHeight="1">
      <c r="A668" s="2"/>
    </row>
    <row r="669" ht="15.75" customHeight="1">
      <c r="A669" s="2"/>
    </row>
    <row r="670" ht="15.75" customHeight="1">
      <c r="A670" s="2"/>
    </row>
    <row r="671" ht="15.75" customHeight="1">
      <c r="A671" s="2"/>
    </row>
    <row r="672" ht="15.75" customHeight="1">
      <c r="A672" s="2"/>
    </row>
    <row r="673" ht="15.75" customHeight="1">
      <c r="A673" s="2"/>
    </row>
    <row r="674" ht="15.75" customHeight="1">
      <c r="A674" s="2"/>
    </row>
    <row r="675" ht="15.75" customHeight="1">
      <c r="A675" s="2"/>
    </row>
    <row r="676" ht="15.75" customHeight="1">
      <c r="A676" s="2"/>
    </row>
    <row r="677" ht="15.75" customHeight="1">
      <c r="A677" s="2"/>
    </row>
    <row r="678" ht="15.75" customHeight="1">
      <c r="A678" s="2"/>
    </row>
    <row r="679" ht="15.75" customHeight="1">
      <c r="A679" s="2"/>
    </row>
    <row r="680" ht="15.75" customHeight="1">
      <c r="A680" s="2"/>
    </row>
    <row r="681" ht="15.75" customHeight="1">
      <c r="A681" s="2"/>
    </row>
    <row r="682" ht="15.75" customHeight="1">
      <c r="A682" s="2"/>
    </row>
    <row r="683" ht="15.75" customHeight="1">
      <c r="A683" s="2"/>
    </row>
    <row r="684" ht="15.75" customHeight="1">
      <c r="A684" s="2"/>
    </row>
    <row r="685" ht="15.75" customHeight="1">
      <c r="A685" s="2"/>
    </row>
    <row r="686" ht="15.75" customHeight="1">
      <c r="A686" s="2"/>
    </row>
    <row r="687" ht="15.75" customHeight="1">
      <c r="A687" s="2"/>
    </row>
    <row r="688" ht="15.75" customHeight="1">
      <c r="A688" s="2"/>
    </row>
    <row r="689" ht="15.75" customHeight="1">
      <c r="A689" s="2"/>
    </row>
    <row r="690" ht="15.75" customHeight="1">
      <c r="A690" s="2"/>
    </row>
    <row r="691" ht="15.75" customHeight="1">
      <c r="A691" s="2"/>
    </row>
    <row r="692" ht="15.75" customHeight="1">
      <c r="A692" s="2"/>
    </row>
    <row r="693" ht="15.75" customHeight="1">
      <c r="A693" s="2"/>
    </row>
    <row r="694" ht="15.75" customHeight="1">
      <c r="A694" s="2"/>
    </row>
    <row r="695" ht="15.75" customHeight="1">
      <c r="A695" s="2"/>
    </row>
    <row r="696" ht="15.75" customHeight="1">
      <c r="A696" s="2"/>
    </row>
    <row r="697" ht="15.75" customHeight="1">
      <c r="A697" s="2"/>
    </row>
    <row r="698" ht="15.75" customHeight="1">
      <c r="A698" s="2"/>
    </row>
    <row r="699" ht="15.75" customHeight="1">
      <c r="A699" s="2"/>
    </row>
    <row r="700" ht="15.75" customHeight="1">
      <c r="A700" s="2"/>
    </row>
    <row r="701" ht="15.75" customHeight="1">
      <c r="A701" s="2"/>
    </row>
    <row r="702" ht="15.75" customHeight="1">
      <c r="A702" s="2"/>
    </row>
    <row r="703" ht="15.75" customHeight="1">
      <c r="A703" s="2"/>
    </row>
    <row r="704" ht="15.75" customHeight="1">
      <c r="A704" s="2"/>
    </row>
    <row r="705" ht="15.75" customHeight="1">
      <c r="A705" s="2"/>
    </row>
    <row r="706" ht="15.75" customHeight="1">
      <c r="A706" s="2"/>
    </row>
    <row r="707" ht="15.75" customHeight="1">
      <c r="A707" s="2"/>
    </row>
    <row r="708" ht="15.75" customHeight="1">
      <c r="A708" s="2"/>
    </row>
    <row r="709" ht="15.75" customHeight="1">
      <c r="A709" s="2"/>
    </row>
    <row r="710" ht="15.75" customHeight="1">
      <c r="A710" s="2"/>
    </row>
    <row r="711" ht="15.75" customHeight="1">
      <c r="A711" s="2"/>
    </row>
    <row r="712" ht="15.75" customHeight="1">
      <c r="A712" s="2"/>
    </row>
    <row r="713" ht="15.75" customHeight="1">
      <c r="A713" s="2"/>
    </row>
    <row r="714" ht="15.75" customHeight="1">
      <c r="A714" s="2"/>
    </row>
    <row r="715" ht="15.75" customHeight="1">
      <c r="A715" s="2"/>
    </row>
    <row r="716" ht="15.75" customHeight="1">
      <c r="A716" s="2"/>
    </row>
    <row r="717" ht="15.75" customHeight="1">
      <c r="A717" s="2"/>
    </row>
    <row r="718" ht="15.75" customHeight="1">
      <c r="A718" s="2"/>
    </row>
    <row r="719" ht="15.75" customHeight="1">
      <c r="A719" s="2"/>
    </row>
    <row r="720" ht="15.75" customHeight="1">
      <c r="A720" s="2"/>
    </row>
    <row r="721" ht="15.75" customHeight="1">
      <c r="A721" s="2"/>
    </row>
    <row r="722" ht="15.75" customHeight="1">
      <c r="A722" s="2"/>
    </row>
    <row r="723" ht="15.75" customHeight="1">
      <c r="A723" s="2"/>
    </row>
    <row r="724" ht="15.75" customHeight="1">
      <c r="A724" s="2"/>
    </row>
    <row r="725" ht="15.75" customHeight="1">
      <c r="A725" s="2"/>
    </row>
    <row r="726" ht="15.75" customHeight="1">
      <c r="A726" s="2"/>
    </row>
    <row r="727" ht="15.75" customHeight="1">
      <c r="A727" s="2"/>
    </row>
    <row r="728" ht="15.75" customHeight="1">
      <c r="A728" s="2"/>
    </row>
    <row r="729" ht="15.75" customHeight="1">
      <c r="A729" s="2"/>
    </row>
    <row r="730" ht="15.75" customHeight="1">
      <c r="A730" s="2"/>
    </row>
    <row r="731" ht="15.75" customHeight="1">
      <c r="A731" s="2"/>
    </row>
    <row r="732" ht="15.75" customHeight="1">
      <c r="A732" s="2"/>
    </row>
    <row r="733" ht="15.75" customHeight="1">
      <c r="A733" s="2"/>
    </row>
    <row r="734" ht="15.75" customHeight="1">
      <c r="A734" s="2"/>
    </row>
    <row r="735" ht="15.75" customHeight="1">
      <c r="A735" s="2"/>
    </row>
    <row r="736" ht="15.75" customHeight="1">
      <c r="A736" s="2"/>
    </row>
    <row r="737" ht="15.75" customHeight="1">
      <c r="A737" s="2"/>
    </row>
    <row r="738" ht="15.75" customHeight="1">
      <c r="A738" s="2"/>
    </row>
    <row r="739" ht="15.75" customHeight="1">
      <c r="A739" s="2"/>
    </row>
    <row r="740" ht="15.75" customHeight="1">
      <c r="A740" s="2"/>
    </row>
    <row r="741" ht="15.75" customHeight="1">
      <c r="A741" s="2"/>
    </row>
    <row r="742" ht="15.75" customHeight="1">
      <c r="A742" s="2"/>
    </row>
    <row r="743" ht="15.75" customHeight="1">
      <c r="A743" s="2"/>
    </row>
    <row r="744" ht="15.75" customHeight="1">
      <c r="A744" s="2"/>
    </row>
    <row r="745" ht="15.75" customHeight="1">
      <c r="A745" s="2"/>
    </row>
    <row r="746" ht="15.75" customHeight="1">
      <c r="A746" s="2"/>
    </row>
    <row r="747" ht="15.75" customHeight="1">
      <c r="A747" s="2"/>
    </row>
    <row r="748" ht="15.75" customHeight="1">
      <c r="A748" s="2"/>
    </row>
    <row r="749" ht="15.75" customHeight="1">
      <c r="A749" s="2"/>
    </row>
    <row r="750" ht="15.75" customHeight="1">
      <c r="A750" s="2"/>
    </row>
    <row r="751" ht="15.75" customHeight="1">
      <c r="A751" s="2"/>
    </row>
    <row r="752" ht="15.75" customHeight="1">
      <c r="A752" s="2"/>
    </row>
    <row r="753" ht="15.75" customHeight="1">
      <c r="A753" s="2"/>
    </row>
    <row r="754" ht="15.75" customHeight="1">
      <c r="A754" s="2"/>
    </row>
    <row r="755" ht="15.75" customHeight="1">
      <c r="A755" s="2"/>
    </row>
    <row r="756" ht="15.75" customHeight="1">
      <c r="A756" s="2"/>
    </row>
    <row r="757" ht="15.75" customHeight="1">
      <c r="A757" s="2"/>
    </row>
    <row r="758" ht="15.75" customHeight="1">
      <c r="A758" s="2"/>
    </row>
    <row r="759" ht="15.75" customHeight="1">
      <c r="A759" s="2"/>
    </row>
    <row r="760" ht="15.75" customHeight="1">
      <c r="A760" s="2"/>
    </row>
    <row r="761" ht="15.75" customHeight="1">
      <c r="A761" s="2"/>
    </row>
    <row r="762" ht="15.75" customHeight="1">
      <c r="A762" s="2"/>
    </row>
    <row r="763" ht="15.75" customHeight="1">
      <c r="A763" s="2"/>
    </row>
    <row r="764" ht="15.75" customHeight="1">
      <c r="A764" s="2"/>
    </row>
    <row r="765" ht="15.75" customHeight="1">
      <c r="A765" s="2"/>
    </row>
    <row r="766" ht="15.75" customHeight="1">
      <c r="A766" s="2"/>
    </row>
    <row r="767" ht="15.75" customHeight="1">
      <c r="A767" s="2"/>
    </row>
    <row r="768" ht="15.75" customHeight="1">
      <c r="A768" s="2"/>
    </row>
    <row r="769" ht="15.75" customHeight="1">
      <c r="A769" s="2"/>
    </row>
    <row r="770" ht="15.75" customHeight="1">
      <c r="A770" s="2"/>
    </row>
    <row r="771" ht="15.75" customHeight="1">
      <c r="A771" s="2"/>
    </row>
    <row r="772" ht="15.75" customHeight="1">
      <c r="A772" s="2"/>
    </row>
    <row r="773" ht="15.75" customHeight="1">
      <c r="A773" s="2"/>
    </row>
    <row r="774" ht="15.75" customHeight="1">
      <c r="A774" s="2"/>
    </row>
    <row r="775" ht="15.75" customHeight="1">
      <c r="A775" s="2"/>
    </row>
    <row r="776" ht="15.75" customHeight="1">
      <c r="A776" s="2"/>
    </row>
    <row r="777" ht="15.75" customHeight="1">
      <c r="A777" s="2"/>
    </row>
    <row r="778" ht="15.75" customHeight="1">
      <c r="A778" s="2"/>
    </row>
    <row r="779" ht="15.75" customHeight="1">
      <c r="A779" s="2"/>
    </row>
    <row r="780" ht="15.75" customHeight="1">
      <c r="A780" s="2"/>
    </row>
    <row r="781" ht="15.75" customHeight="1">
      <c r="A781" s="2"/>
    </row>
    <row r="782" ht="15.75" customHeight="1">
      <c r="A782" s="2"/>
    </row>
    <row r="783" ht="15.75" customHeight="1">
      <c r="A783" s="2"/>
    </row>
    <row r="784" ht="15.75" customHeight="1">
      <c r="A784" s="2"/>
    </row>
    <row r="785" ht="15.75" customHeight="1">
      <c r="A785" s="2"/>
    </row>
    <row r="786" ht="15.75" customHeight="1">
      <c r="A786" s="2"/>
    </row>
    <row r="787" ht="15.75" customHeight="1">
      <c r="A787" s="2"/>
    </row>
    <row r="788" ht="15.75" customHeight="1">
      <c r="A788" s="2"/>
    </row>
    <row r="789" ht="15.75" customHeight="1">
      <c r="A789" s="2"/>
    </row>
    <row r="790" ht="15.75" customHeight="1">
      <c r="A790" s="2"/>
    </row>
    <row r="791" ht="15.75" customHeight="1">
      <c r="A791" s="2"/>
    </row>
    <row r="792" ht="15.75" customHeight="1">
      <c r="A792" s="2"/>
    </row>
    <row r="793" ht="15.75" customHeight="1">
      <c r="A793" s="2"/>
    </row>
    <row r="794" ht="15.75" customHeight="1">
      <c r="A794" s="2"/>
    </row>
    <row r="795" ht="15.75" customHeight="1">
      <c r="A795" s="2"/>
    </row>
    <row r="796" ht="15.75" customHeight="1">
      <c r="A796" s="2"/>
    </row>
    <row r="797" ht="15.75" customHeight="1">
      <c r="A797" s="2"/>
    </row>
    <row r="798" ht="15.75" customHeight="1">
      <c r="A798" s="2"/>
    </row>
    <row r="799" ht="15.75" customHeight="1">
      <c r="A799" s="2"/>
    </row>
    <row r="800" ht="15.75" customHeight="1">
      <c r="A800" s="2"/>
    </row>
    <row r="801" ht="15.75" customHeight="1">
      <c r="A801" s="2"/>
    </row>
    <row r="802" ht="15.75" customHeight="1">
      <c r="A802" s="2"/>
    </row>
    <row r="803" ht="15.75" customHeight="1">
      <c r="A803" s="2"/>
    </row>
    <row r="804" ht="15.75" customHeight="1">
      <c r="A804" s="2"/>
    </row>
    <row r="805" ht="15.75" customHeight="1">
      <c r="A805" s="2"/>
    </row>
    <row r="806" ht="15.75" customHeight="1">
      <c r="A806" s="2"/>
    </row>
    <row r="807" ht="15.75" customHeight="1">
      <c r="A807" s="2"/>
    </row>
    <row r="808" ht="15.75" customHeight="1">
      <c r="A808" s="2"/>
    </row>
    <row r="809" ht="15.75" customHeight="1">
      <c r="A809" s="2"/>
    </row>
    <row r="810" ht="15.75" customHeight="1">
      <c r="A810" s="2"/>
    </row>
    <row r="811" ht="15.75" customHeight="1">
      <c r="A811" s="2"/>
    </row>
    <row r="812" ht="15.75" customHeight="1">
      <c r="A812" s="2"/>
    </row>
    <row r="813" ht="15.75" customHeight="1">
      <c r="A813" s="2"/>
    </row>
    <row r="814" ht="15.75" customHeight="1">
      <c r="A814" s="2"/>
    </row>
    <row r="815" ht="15.75" customHeight="1">
      <c r="A815" s="2"/>
    </row>
    <row r="816" ht="15.75" customHeight="1">
      <c r="A816" s="2"/>
    </row>
    <row r="817" ht="15.75" customHeight="1">
      <c r="A817" s="2"/>
    </row>
    <row r="818" ht="15.75" customHeight="1">
      <c r="A818" s="2"/>
    </row>
    <row r="819" ht="15.75" customHeight="1">
      <c r="A819" s="2"/>
    </row>
    <row r="820" ht="15.75" customHeight="1">
      <c r="A820" s="2"/>
    </row>
    <row r="821" ht="15.75" customHeight="1">
      <c r="A821" s="2"/>
    </row>
    <row r="822" ht="15.75" customHeight="1">
      <c r="A822" s="2"/>
    </row>
    <row r="823" ht="15.75" customHeight="1">
      <c r="A823" s="2"/>
    </row>
    <row r="824" ht="15.75" customHeight="1">
      <c r="A824" s="2"/>
    </row>
    <row r="825" ht="15.75" customHeight="1">
      <c r="A825" s="2"/>
    </row>
    <row r="826" ht="15.75" customHeight="1">
      <c r="A826" s="2"/>
    </row>
    <row r="827" ht="15.75" customHeight="1">
      <c r="A827" s="2"/>
    </row>
    <row r="828" ht="15.75" customHeight="1">
      <c r="A828" s="2"/>
    </row>
    <row r="829" ht="15.75" customHeight="1">
      <c r="A829" s="2"/>
    </row>
    <row r="830" ht="15.75" customHeight="1">
      <c r="A830" s="2"/>
    </row>
    <row r="831" ht="15.75" customHeight="1">
      <c r="A831" s="2"/>
    </row>
    <row r="832" ht="15.75" customHeight="1">
      <c r="A832" s="2"/>
    </row>
    <row r="833" ht="15.75" customHeight="1">
      <c r="A833" s="2"/>
    </row>
    <row r="834" ht="15.75" customHeight="1">
      <c r="A834" s="2"/>
    </row>
    <row r="835" ht="15.75" customHeight="1">
      <c r="A835" s="2"/>
    </row>
    <row r="836" ht="15.75" customHeight="1">
      <c r="A836" s="2"/>
    </row>
    <row r="837" ht="15.75" customHeight="1">
      <c r="A837" s="2"/>
    </row>
    <row r="838" ht="15.75" customHeight="1">
      <c r="A838" s="2"/>
    </row>
    <row r="839" ht="15.75" customHeight="1">
      <c r="A839" s="2"/>
    </row>
    <row r="840" ht="15.75" customHeight="1">
      <c r="A840" s="2"/>
    </row>
    <row r="841" ht="15.75" customHeight="1">
      <c r="A841" s="2"/>
    </row>
    <row r="842" ht="15.75" customHeight="1">
      <c r="A842" s="2"/>
    </row>
    <row r="843" ht="15.75" customHeight="1">
      <c r="A843" s="2"/>
    </row>
    <row r="844" ht="15.75" customHeight="1">
      <c r="A844" s="2"/>
    </row>
    <row r="845" ht="15.75" customHeight="1">
      <c r="A845" s="2"/>
    </row>
    <row r="846" ht="15.75" customHeight="1">
      <c r="A846" s="2"/>
    </row>
    <row r="847" ht="15.75" customHeight="1">
      <c r="A847" s="2"/>
    </row>
    <row r="848" ht="15.75" customHeight="1">
      <c r="A848" s="2"/>
    </row>
    <row r="849" ht="15.75" customHeight="1">
      <c r="A849" s="2"/>
    </row>
    <row r="850" ht="15.75" customHeight="1">
      <c r="A850" s="2"/>
    </row>
    <row r="851" ht="15.75" customHeight="1">
      <c r="A851" s="2"/>
    </row>
    <row r="852" ht="15.75" customHeight="1">
      <c r="A852" s="2"/>
    </row>
    <row r="853" ht="15.75" customHeight="1">
      <c r="A853" s="2"/>
    </row>
    <row r="854" ht="15.75" customHeight="1">
      <c r="A854" s="2"/>
    </row>
    <row r="855" ht="15.75" customHeight="1">
      <c r="A855" s="2"/>
    </row>
    <row r="856" ht="15.75" customHeight="1">
      <c r="A856" s="2"/>
    </row>
    <row r="857" ht="15.75" customHeight="1">
      <c r="A857" s="2"/>
    </row>
    <row r="858" ht="15.75" customHeight="1">
      <c r="A858" s="2"/>
    </row>
    <row r="859" ht="15.75" customHeight="1">
      <c r="A859" s="2"/>
    </row>
    <row r="860" ht="15.75" customHeight="1">
      <c r="A860" s="2"/>
    </row>
    <row r="861" ht="15.75" customHeight="1">
      <c r="A861" s="2"/>
    </row>
    <row r="862" ht="15.75" customHeight="1">
      <c r="A862" s="2"/>
    </row>
    <row r="863" ht="15.75" customHeight="1">
      <c r="A863" s="2"/>
    </row>
    <row r="864" ht="15.75" customHeight="1">
      <c r="A864" s="2"/>
    </row>
    <row r="865" ht="15.75" customHeight="1">
      <c r="A865" s="2"/>
    </row>
    <row r="866" ht="15.75" customHeight="1">
      <c r="A866" s="2"/>
    </row>
    <row r="867" ht="15.75" customHeight="1">
      <c r="A867" s="2"/>
    </row>
    <row r="868" ht="15.75" customHeight="1">
      <c r="A868" s="2"/>
    </row>
    <row r="869" ht="15.75" customHeight="1">
      <c r="A869" s="2"/>
    </row>
    <row r="870" ht="15.75" customHeight="1">
      <c r="A870" s="2"/>
    </row>
    <row r="871" ht="15.75" customHeight="1">
      <c r="A871" s="2"/>
    </row>
    <row r="872" ht="15.75" customHeight="1">
      <c r="A872" s="2"/>
    </row>
    <row r="873" ht="15.75" customHeight="1">
      <c r="A873" s="2"/>
    </row>
    <row r="874" ht="15.75" customHeight="1">
      <c r="A874" s="2"/>
    </row>
    <row r="875" ht="15.75" customHeight="1">
      <c r="A875" s="2"/>
    </row>
    <row r="876" ht="15.75" customHeight="1">
      <c r="A876" s="2"/>
    </row>
    <row r="877" ht="15.75" customHeight="1">
      <c r="A877" s="2"/>
    </row>
    <row r="878" ht="15.75" customHeight="1">
      <c r="A878" s="2"/>
    </row>
    <row r="879" ht="15.75" customHeight="1">
      <c r="A879" s="2"/>
    </row>
    <row r="880" ht="15.75" customHeight="1">
      <c r="A880" s="2"/>
    </row>
    <row r="881" ht="15.75" customHeight="1">
      <c r="A881" s="2"/>
    </row>
    <row r="882" ht="15.75" customHeight="1">
      <c r="A882" s="2"/>
    </row>
    <row r="883" ht="15.75" customHeight="1">
      <c r="A883" s="2"/>
    </row>
    <row r="884" ht="15.75" customHeight="1">
      <c r="A884" s="2"/>
    </row>
    <row r="885" ht="15.75" customHeight="1">
      <c r="A885" s="2"/>
    </row>
    <row r="886" ht="15.75" customHeight="1">
      <c r="A886" s="2"/>
    </row>
    <row r="887" ht="15.75" customHeight="1">
      <c r="A887" s="2"/>
    </row>
    <row r="888" ht="15.75" customHeight="1">
      <c r="A888" s="2"/>
    </row>
    <row r="889" ht="15.75" customHeight="1">
      <c r="A889" s="2"/>
    </row>
    <row r="890" ht="15.75" customHeight="1">
      <c r="A890" s="2"/>
    </row>
    <row r="891" ht="15.75" customHeight="1">
      <c r="A891" s="2"/>
    </row>
    <row r="892" ht="15.75" customHeight="1">
      <c r="A892" s="2"/>
    </row>
    <row r="893" ht="15.75" customHeight="1">
      <c r="A893" s="2"/>
    </row>
    <row r="894" ht="15.75" customHeight="1">
      <c r="A894" s="2"/>
    </row>
    <row r="895" ht="15.75" customHeight="1">
      <c r="A895" s="2"/>
    </row>
    <row r="896" ht="15.75" customHeight="1">
      <c r="A896" s="2"/>
    </row>
    <row r="897" ht="15.75" customHeight="1">
      <c r="A897" s="2"/>
    </row>
    <row r="898" ht="15.75" customHeight="1">
      <c r="A898" s="2"/>
    </row>
    <row r="899" ht="15.75" customHeight="1">
      <c r="A899" s="2"/>
    </row>
    <row r="900" ht="15.75" customHeight="1">
      <c r="A900" s="2"/>
    </row>
    <row r="901" ht="15.75" customHeight="1">
      <c r="A901" s="2"/>
    </row>
    <row r="902" ht="15.75" customHeight="1">
      <c r="A902" s="2"/>
    </row>
    <row r="903" ht="15.75" customHeight="1">
      <c r="A903" s="2"/>
    </row>
    <row r="904" ht="15.75" customHeight="1">
      <c r="A904" s="2"/>
    </row>
    <row r="905" ht="15.75" customHeight="1">
      <c r="A905" s="2"/>
    </row>
    <row r="906" ht="15.75" customHeight="1">
      <c r="A906" s="2"/>
    </row>
    <row r="907" ht="15.75" customHeight="1">
      <c r="A907" s="2"/>
    </row>
    <row r="908" ht="15.75" customHeight="1">
      <c r="A908" s="2"/>
    </row>
    <row r="909" ht="15.75" customHeight="1">
      <c r="A909" s="2"/>
    </row>
    <row r="910" ht="15.75" customHeight="1">
      <c r="A910" s="2"/>
    </row>
    <row r="911" ht="15.75" customHeight="1">
      <c r="A911" s="2"/>
    </row>
    <row r="912" ht="15.75" customHeight="1">
      <c r="A912" s="2"/>
    </row>
    <row r="913" ht="15.75" customHeight="1">
      <c r="A913" s="2"/>
    </row>
    <row r="914" ht="15.75" customHeight="1">
      <c r="A914" s="2"/>
    </row>
    <row r="915" ht="15.75" customHeight="1">
      <c r="A915" s="2"/>
    </row>
    <row r="916" ht="15.75" customHeight="1">
      <c r="A916" s="2"/>
    </row>
    <row r="917" ht="15.75" customHeight="1">
      <c r="A917" s="2"/>
    </row>
    <row r="918" ht="15.75" customHeight="1">
      <c r="A918" s="2"/>
    </row>
    <row r="919" ht="15.75" customHeight="1">
      <c r="A919" s="2"/>
    </row>
    <row r="920" ht="15.75" customHeight="1">
      <c r="A920" s="2"/>
    </row>
    <row r="921" ht="15.75" customHeight="1">
      <c r="A921" s="2"/>
    </row>
    <row r="922" ht="15.75" customHeight="1">
      <c r="A922" s="2"/>
    </row>
    <row r="923" ht="15.75" customHeight="1">
      <c r="A923" s="2"/>
    </row>
    <row r="924" ht="15.75" customHeight="1">
      <c r="A924" s="2"/>
    </row>
    <row r="925" ht="15.75" customHeight="1">
      <c r="A925" s="2"/>
    </row>
    <row r="926" ht="15.75" customHeight="1">
      <c r="A926" s="2"/>
    </row>
    <row r="927" ht="15.75" customHeight="1">
      <c r="A927" s="2"/>
    </row>
    <row r="928" ht="15.75" customHeight="1">
      <c r="A928" s="2"/>
    </row>
    <row r="929" ht="15.75" customHeight="1">
      <c r="A929" s="2"/>
    </row>
    <row r="930" ht="15.75" customHeight="1">
      <c r="A930" s="2"/>
    </row>
    <row r="931" ht="15.75" customHeight="1">
      <c r="A931" s="2"/>
    </row>
    <row r="932" ht="15.75" customHeight="1">
      <c r="A932" s="2"/>
    </row>
    <row r="933" ht="15.75" customHeight="1">
      <c r="A933" s="2"/>
    </row>
    <row r="934" ht="15.75" customHeight="1">
      <c r="A934" s="2"/>
    </row>
    <row r="935" ht="15.75" customHeight="1">
      <c r="A935" s="2"/>
    </row>
    <row r="936" ht="15.75" customHeight="1">
      <c r="A936" s="2"/>
    </row>
    <row r="937" ht="15.75" customHeight="1">
      <c r="A937" s="2"/>
    </row>
    <row r="938" ht="15.75" customHeight="1">
      <c r="A938" s="2"/>
    </row>
    <row r="939" ht="15.75" customHeight="1">
      <c r="A939" s="2"/>
    </row>
    <row r="940" ht="15.75" customHeight="1">
      <c r="A940" s="2"/>
    </row>
    <row r="941" ht="15.75" customHeight="1">
      <c r="A941" s="2"/>
    </row>
    <row r="942" ht="15.75" customHeight="1">
      <c r="A942" s="2"/>
    </row>
    <row r="943" ht="15.75" customHeight="1">
      <c r="A943" s="2"/>
    </row>
    <row r="944" ht="15.75" customHeight="1">
      <c r="A944" s="2"/>
    </row>
    <row r="945" ht="15.75" customHeight="1">
      <c r="A945" s="2"/>
    </row>
    <row r="946" ht="15.75" customHeight="1">
      <c r="A946" s="2"/>
    </row>
    <row r="947" ht="15.75" customHeight="1">
      <c r="A947" s="2"/>
    </row>
    <row r="948" ht="15.75" customHeight="1">
      <c r="A948" s="2"/>
    </row>
    <row r="949" ht="15.75" customHeight="1">
      <c r="A949" s="2"/>
    </row>
    <row r="950" ht="15.75" customHeight="1">
      <c r="A950" s="2"/>
    </row>
    <row r="951" ht="15.75" customHeight="1">
      <c r="A951" s="2"/>
    </row>
    <row r="952" ht="15.75" customHeight="1">
      <c r="A952" s="2"/>
    </row>
    <row r="953" ht="15.75" customHeight="1">
      <c r="A953" s="2"/>
    </row>
    <row r="954" ht="15.75" customHeight="1">
      <c r="A954" s="2"/>
    </row>
    <row r="955" ht="15.75" customHeight="1">
      <c r="A955" s="2"/>
    </row>
    <row r="956" ht="15.75" customHeight="1">
      <c r="A956" s="2"/>
    </row>
    <row r="957" ht="15.75" customHeight="1">
      <c r="A957" s="2"/>
    </row>
    <row r="958" ht="15.75" customHeight="1">
      <c r="A958" s="2"/>
    </row>
    <row r="959" ht="15.75" customHeight="1">
      <c r="A959" s="2"/>
    </row>
    <row r="960" ht="15.75" customHeight="1">
      <c r="A960" s="2"/>
    </row>
    <row r="961" ht="15.75" customHeight="1">
      <c r="A961" s="2"/>
    </row>
    <row r="962" ht="15.75" customHeight="1">
      <c r="A962" s="2"/>
    </row>
    <row r="963" ht="15.75" customHeight="1">
      <c r="A963" s="2"/>
    </row>
    <row r="964" ht="15.75" customHeight="1">
      <c r="A964" s="2"/>
    </row>
    <row r="965" ht="15.75" customHeight="1">
      <c r="A965" s="2"/>
    </row>
    <row r="966" ht="15.75" customHeight="1">
      <c r="A966" s="2"/>
    </row>
    <row r="967" ht="15.75" customHeight="1">
      <c r="A967" s="2"/>
    </row>
    <row r="968" ht="15.75" customHeight="1">
      <c r="A968" s="2"/>
    </row>
    <row r="969" ht="15.75" customHeight="1">
      <c r="A969" s="2"/>
    </row>
    <row r="970" ht="15.75" customHeight="1">
      <c r="A970" s="2"/>
    </row>
    <row r="971" ht="15.75" customHeight="1">
      <c r="A971" s="2"/>
    </row>
    <row r="972" ht="15.75" customHeight="1">
      <c r="A972" s="2"/>
    </row>
    <row r="973" ht="15.75" customHeight="1">
      <c r="A973" s="2"/>
    </row>
    <row r="974" ht="15.75" customHeight="1">
      <c r="A974" s="2"/>
    </row>
    <row r="975" ht="15.75" customHeight="1">
      <c r="A975" s="2"/>
    </row>
    <row r="976" ht="15.75" customHeight="1">
      <c r="A976" s="2"/>
    </row>
    <row r="977" ht="15.75" customHeight="1">
      <c r="A977" s="2"/>
    </row>
    <row r="978" ht="15.75" customHeight="1">
      <c r="A978" s="2"/>
    </row>
    <row r="979" ht="15.75" customHeight="1">
      <c r="A979" s="2"/>
    </row>
    <row r="980" ht="15.75" customHeight="1">
      <c r="A980" s="2"/>
    </row>
    <row r="981" ht="15.75" customHeight="1">
      <c r="A981" s="2"/>
    </row>
    <row r="982" ht="15.75" customHeight="1">
      <c r="A982" s="2"/>
    </row>
    <row r="983" ht="15.75" customHeight="1">
      <c r="A983" s="2"/>
    </row>
    <row r="984" ht="15.75" customHeight="1">
      <c r="A984" s="2"/>
    </row>
    <row r="985" ht="15.75" customHeight="1">
      <c r="A985" s="2"/>
    </row>
    <row r="986" ht="15.75" customHeight="1">
      <c r="A986" s="2"/>
    </row>
    <row r="987" ht="15.75" customHeight="1">
      <c r="A987" s="2"/>
    </row>
    <row r="988" ht="15.75" customHeight="1">
      <c r="A988" s="2"/>
    </row>
    <row r="989" ht="15.75" customHeight="1">
      <c r="A989" s="2"/>
    </row>
    <row r="990" ht="15.75" customHeight="1">
      <c r="A990" s="2"/>
    </row>
    <row r="991" ht="15.75" customHeight="1">
      <c r="A991" s="2"/>
    </row>
    <row r="992" ht="15.75" customHeight="1">
      <c r="A992" s="2"/>
    </row>
    <row r="993" ht="15.75" customHeight="1">
      <c r="A993" s="2"/>
    </row>
    <row r="994" ht="15.75" customHeight="1">
      <c r="A994" s="2"/>
    </row>
    <row r="995" ht="15.75" customHeight="1">
      <c r="A995" s="2"/>
    </row>
    <row r="996" ht="15.75" customHeight="1">
      <c r="A996" s="2"/>
    </row>
    <row r="997" ht="15.75" customHeight="1">
      <c r="A997" s="2"/>
    </row>
    <row r="998" ht="15.75" customHeight="1">
      <c r="A998" s="2"/>
    </row>
    <row r="999" ht="15.75" customHeight="1">
      <c r="A999" s="2"/>
    </row>
    <row r="1000" ht="15.75" customHeight="1">
      <c r="A1000" s="2"/>
    </row>
  </sheetData>
  <hyperlinks>
    <hyperlink r:id="rId1" location="gid=415989545" ref="B2"/>
    <hyperlink r:id="rId2" location="gid=511874214" ref="B3"/>
    <hyperlink r:id="rId3" ref="B9"/>
  </hyperlinks>
  <printOptions/>
  <pageMargins bottom="0.75" footer="0.0" header="0.0" left="0.7" right="0.7" top="0.75"/>
  <pageSetup orientation="landscape"/>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13"/>
    <col customWidth="1" min="2" max="2" width="46.88"/>
    <col customWidth="1" min="3" max="3" width="243.38"/>
  </cols>
  <sheetData>
    <row r="1">
      <c r="A1" s="6" t="s">
        <v>15</v>
      </c>
      <c r="B1" s="6" t="s">
        <v>16</v>
      </c>
      <c r="C1" s="6" t="s">
        <v>17</v>
      </c>
    </row>
    <row r="2">
      <c r="A2" s="6" t="s">
        <v>18</v>
      </c>
      <c r="B2" s="6" t="s">
        <v>19</v>
      </c>
      <c r="C2" s="6" t="s">
        <v>20</v>
      </c>
    </row>
    <row r="3">
      <c r="A3" s="6" t="s">
        <v>21</v>
      </c>
      <c r="B3" s="6" t="s">
        <v>22</v>
      </c>
      <c r="C3" s="6" t="s">
        <v>23</v>
      </c>
    </row>
    <row r="4">
      <c r="A4" s="6" t="s">
        <v>24</v>
      </c>
      <c r="B4" s="6" t="s">
        <v>25</v>
      </c>
      <c r="C4" s="6" t="s">
        <v>26</v>
      </c>
    </row>
    <row r="5">
      <c r="A5" s="6" t="s">
        <v>27</v>
      </c>
      <c r="B5" s="6" t="s">
        <v>28</v>
      </c>
      <c r="C5" s="6" t="s">
        <v>29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38"/>
    <col customWidth="1" min="2" max="2" width="17.63"/>
    <col customWidth="1" min="3" max="3" width="22.63"/>
    <col customWidth="1" min="4" max="4" width="27.63"/>
    <col customWidth="1" min="5" max="5" width="22.63"/>
    <col customWidth="1" min="6" max="6" width="20.13"/>
    <col customWidth="1" min="7" max="7" width="18.88"/>
    <col customWidth="1" min="8" max="8" width="27.63"/>
    <col customWidth="1" min="9" max="9" width="28.88"/>
    <col customWidth="1" min="10" max="10" width="23.88"/>
    <col customWidth="1" min="11" max="11" width="16.38"/>
    <col customWidth="1" min="12" max="13" width="27.63"/>
    <col customWidth="1" min="14" max="14" width="11.38"/>
    <col customWidth="1" min="15" max="15" width="10.13"/>
    <col customWidth="1" min="16" max="16" width="15.13"/>
    <col customWidth="1" min="17" max="17" width="13.88"/>
    <col customWidth="1" min="18" max="18" width="22.63"/>
    <col customWidth="1" min="19" max="19" width="32.63"/>
    <col customWidth="1" min="20" max="20" width="16.38"/>
    <col customWidth="1" min="21" max="21" width="13.88"/>
    <col customWidth="1" min="22" max="22" width="20.13"/>
    <col customWidth="1" min="23" max="23" width="17.63"/>
    <col customWidth="1" min="24" max="24" width="13.88"/>
    <col customWidth="1" min="25" max="25" width="27.63"/>
    <col customWidth="1" min="26" max="26" width="30.13"/>
    <col customWidth="1" min="27" max="27" width="18.88"/>
    <col customWidth="1" min="28" max="28" width="25.13"/>
    <col customWidth="1" min="29" max="29" width="22.63"/>
    <col customWidth="1" min="30" max="30" width="17.63"/>
    <col customWidth="1" min="31" max="31" width="37.63"/>
    <col customWidth="1" min="32" max="32" width="17.63"/>
    <col customWidth="1" min="33" max="41" width="32.63"/>
  </cols>
  <sheetData>
    <row r="1">
      <c r="A1" s="8" t="s">
        <v>30</v>
      </c>
      <c r="B1" s="8" t="s">
        <v>31</v>
      </c>
      <c r="C1" s="8" t="s">
        <v>32</v>
      </c>
      <c r="D1" s="8" t="s">
        <v>33</v>
      </c>
      <c r="E1" s="8" t="s">
        <v>34</v>
      </c>
      <c r="F1" s="8" t="s">
        <v>35</v>
      </c>
      <c r="G1" s="8" t="s">
        <v>36</v>
      </c>
      <c r="H1" s="8" t="s">
        <v>37</v>
      </c>
      <c r="I1" s="8" t="s">
        <v>38</v>
      </c>
      <c r="J1" s="8" t="s">
        <v>39</v>
      </c>
      <c r="K1" s="8" t="s">
        <v>40</v>
      </c>
      <c r="L1" s="8" t="s">
        <v>41</v>
      </c>
      <c r="M1" s="8" t="s">
        <v>42</v>
      </c>
      <c r="N1" s="8" t="s">
        <v>43</v>
      </c>
      <c r="O1" s="8" t="s">
        <v>44</v>
      </c>
      <c r="P1" s="8" t="s">
        <v>45</v>
      </c>
      <c r="Q1" s="8" t="s">
        <v>46</v>
      </c>
      <c r="R1" s="8" t="s">
        <v>47</v>
      </c>
      <c r="S1" s="8" t="s">
        <v>48</v>
      </c>
      <c r="T1" s="8" t="s">
        <v>49</v>
      </c>
      <c r="U1" s="8" t="s">
        <v>50</v>
      </c>
      <c r="V1" s="8" t="s">
        <v>51</v>
      </c>
      <c r="W1" s="8" t="s">
        <v>52</v>
      </c>
      <c r="X1" s="8" t="s">
        <v>53</v>
      </c>
      <c r="Y1" s="8" t="s">
        <v>54</v>
      </c>
      <c r="Z1" s="8" t="s">
        <v>55</v>
      </c>
      <c r="AA1" s="8" t="s">
        <v>56</v>
      </c>
      <c r="AB1" s="8" t="s">
        <v>57</v>
      </c>
      <c r="AC1" s="8" t="s">
        <v>58</v>
      </c>
      <c r="AD1" s="8" t="s">
        <v>59</v>
      </c>
      <c r="AE1" s="8" t="s">
        <v>60</v>
      </c>
      <c r="AF1" s="8" t="s">
        <v>8</v>
      </c>
      <c r="AG1" s="8" t="s">
        <v>61</v>
      </c>
      <c r="AH1" s="9" t="s">
        <v>62</v>
      </c>
      <c r="AI1" s="9" t="s">
        <v>63</v>
      </c>
      <c r="AJ1" s="9" t="s">
        <v>64</v>
      </c>
      <c r="AK1" s="9" t="s">
        <v>65</v>
      </c>
      <c r="AL1" s="9" t="s">
        <v>66</v>
      </c>
      <c r="AM1" s="9" t="s">
        <v>67</v>
      </c>
      <c r="AN1" s="9" t="s">
        <v>68</v>
      </c>
      <c r="AO1" s="9" t="s">
        <v>69</v>
      </c>
    </row>
    <row r="2">
      <c r="A2" s="10" t="s">
        <v>70</v>
      </c>
      <c r="B2" s="10" t="s">
        <v>71</v>
      </c>
      <c r="C2" s="10" t="s">
        <v>72</v>
      </c>
      <c r="D2" s="10" t="s">
        <v>73</v>
      </c>
      <c r="E2" s="10" t="s">
        <v>74</v>
      </c>
      <c r="F2" s="10" t="s">
        <v>75</v>
      </c>
      <c r="G2" s="10" t="s">
        <v>76</v>
      </c>
      <c r="H2" s="11"/>
      <c r="I2" s="10" t="s">
        <v>77</v>
      </c>
      <c r="J2" s="11"/>
      <c r="K2" s="10" t="s">
        <v>78</v>
      </c>
      <c r="L2" s="12" t="s">
        <v>79</v>
      </c>
      <c r="M2" s="12" t="s">
        <v>79</v>
      </c>
      <c r="N2" s="10" t="s">
        <v>80</v>
      </c>
      <c r="O2" s="10" t="s">
        <v>81</v>
      </c>
      <c r="P2" s="10" t="s">
        <v>82</v>
      </c>
      <c r="Q2" s="13">
        <v>46146.50620472222</v>
      </c>
      <c r="R2" s="11"/>
      <c r="S2" s="11"/>
      <c r="T2" s="11"/>
      <c r="U2" s="14"/>
      <c r="V2" s="11"/>
      <c r="W2" s="11"/>
      <c r="X2" s="11"/>
      <c r="Y2" s="11"/>
      <c r="Z2" s="11"/>
      <c r="AA2" s="11"/>
      <c r="AB2" s="11"/>
      <c r="AC2" s="10" t="s">
        <v>83</v>
      </c>
      <c r="AD2" s="13">
        <v>46153.0</v>
      </c>
      <c r="AE2" s="11"/>
      <c r="AF2" s="15">
        <v>46146.55193041667</v>
      </c>
      <c r="AG2" s="11"/>
      <c r="AH2" s="11"/>
      <c r="AI2" s="11"/>
      <c r="AJ2" s="11"/>
      <c r="AK2" s="11"/>
      <c r="AL2" s="11"/>
      <c r="AM2" s="11"/>
      <c r="AN2" s="11"/>
      <c r="AO2" s="11"/>
    </row>
    <row r="3">
      <c r="A3" s="16" t="s">
        <v>84</v>
      </c>
      <c r="B3" s="16" t="s">
        <v>71</v>
      </c>
      <c r="C3" s="16" t="s">
        <v>72</v>
      </c>
      <c r="D3" s="16" t="s">
        <v>85</v>
      </c>
      <c r="E3" s="16" t="s">
        <v>86</v>
      </c>
      <c r="F3" s="16" t="s">
        <v>75</v>
      </c>
      <c r="G3" s="16" t="s">
        <v>87</v>
      </c>
      <c r="H3" s="17"/>
      <c r="I3" s="16" t="s">
        <v>88</v>
      </c>
      <c r="J3" s="17"/>
      <c r="K3" s="17"/>
      <c r="L3" s="18" t="s">
        <v>89</v>
      </c>
      <c r="M3" s="18" t="s">
        <v>89</v>
      </c>
      <c r="N3" s="16" t="s">
        <v>80</v>
      </c>
      <c r="O3" s="16" t="s">
        <v>81</v>
      </c>
      <c r="P3" s="16" t="s">
        <v>82</v>
      </c>
      <c r="Q3" s="19">
        <v>46146.5061675926</v>
      </c>
      <c r="R3" s="17"/>
      <c r="S3" s="17"/>
      <c r="T3" s="17"/>
      <c r="U3" s="20"/>
      <c r="V3" s="17"/>
      <c r="W3" s="17"/>
      <c r="X3" s="17"/>
      <c r="Y3" s="17"/>
      <c r="Z3" s="17"/>
      <c r="AA3" s="17"/>
      <c r="AB3" s="17"/>
      <c r="AC3" s="16" t="s">
        <v>83</v>
      </c>
      <c r="AD3" s="19">
        <v>46153.0</v>
      </c>
      <c r="AE3" s="17"/>
      <c r="AF3" s="21">
        <v>46146.55193041667</v>
      </c>
      <c r="AG3" s="17"/>
      <c r="AH3" s="17"/>
      <c r="AI3" s="17"/>
      <c r="AJ3" s="17"/>
      <c r="AK3" s="17"/>
      <c r="AL3" s="17"/>
      <c r="AM3" s="17"/>
      <c r="AN3" s="17"/>
      <c r="AO3" s="17"/>
    </row>
    <row r="4">
      <c r="A4" s="16" t="s">
        <v>90</v>
      </c>
      <c r="B4" s="16" t="s">
        <v>71</v>
      </c>
      <c r="C4" s="16" t="s">
        <v>72</v>
      </c>
      <c r="D4" s="16" t="s">
        <v>91</v>
      </c>
      <c r="E4" s="16" t="s">
        <v>92</v>
      </c>
      <c r="F4" s="16" t="s">
        <v>75</v>
      </c>
      <c r="G4" s="16" t="s">
        <v>87</v>
      </c>
      <c r="H4" s="17"/>
      <c r="I4" s="16" t="s">
        <v>93</v>
      </c>
      <c r="J4" s="17"/>
      <c r="K4" s="17"/>
      <c r="L4" s="18" t="s">
        <v>94</v>
      </c>
      <c r="M4" s="18" t="s">
        <v>94</v>
      </c>
      <c r="N4" s="16" t="s">
        <v>80</v>
      </c>
      <c r="O4" s="16" t="s">
        <v>81</v>
      </c>
      <c r="P4" s="16" t="s">
        <v>82</v>
      </c>
      <c r="Q4" s="19">
        <v>46146.50619767361</v>
      </c>
      <c r="R4" s="17"/>
      <c r="S4" s="17"/>
      <c r="T4" s="17"/>
      <c r="U4" s="20"/>
      <c r="V4" s="17"/>
      <c r="W4" s="17"/>
      <c r="X4" s="17"/>
      <c r="Y4" s="17"/>
      <c r="Z4" s="17"/>
      <c r="AA4" s="17"/>
      <c r="AB4" s="17"/>
      <c r="AC4" s="16" t="s">
        <v>83</v>
      </c>
      <c r="AD4" s="19">
        <v>46153.0</v>
      </c>
      <c r="AE4" s="17"/>
      <c r="AF4" s="21">
        <v>46146.55193041667</v>
      </c>
      <c r="AG4" s="17"/>
      <c r="AH4" s="17"/>
      <c r="AI4" s="17"/>
      <c r="AJ4" s="17"/>
      <c r="AK4" s="17"/>
      <c r="AL4" s="17"/>
      <c r="AM4" s="17"/>
      <c r="AN4" s="17"/>
      <c r="AO4" s="17"/>
    </row>
    <row r="5">
      <c r="A5" s="16" t="s">
        <v>95</v>
      </c>
      <c r="B5" s="16" t="s">
        <v>71</v>
      </c>
      <c r="C5" s="16" t="s">
        <v>72</v>
      </c>
      <c r="D5" s="16" t="s">
        <v>96</v>
      </c>
      <c r="E5" s="16" t="s">
        <v>97</v>
      </c>
      <c r="F5" s="16" t="s">
        <v>24</v>
      </c>
      <c r="G5" s="16" t="s">
        <v>87</v>
      </c>
      <c r="H5" s="17"/>
      <c r="I5" s="17"/>
      <c r="J5" s="17"/>
      <c r="K5" s="16" t="s">
        <v>98</v>
      </c>
      <c r="L5" s="18" t="s">
        <v>99</v>
      </c>
      <c r="M5" s="18" t="s">
        <v>99</v>
      </c>
      <c r="N5" s="16" t="s">
        <v>100</v>
      </c>
      <c r="O5" s="16" t="s">
        <v>101</v>
      </c>
      <c r="P5" s="16" t="s">
        <v>102</v>
      </c>
      <c r="Q5" s="20"/>
      <c r="R5" s="17"/>
      <c r="S5" s="17"/>
      <c r="T5" s="17"/>
      <c r="U5" s="20"/>
      <c r="V5" s="17"/>
      <c r="W5" s="17"/>
      <c r="X5" s="17"/>
      <c r="Y5" s="17"/>
      <c r="Z5" s="17"/>
      <c r="AA5" s="17"/>
      <c r="AB5" s="17"/>
      <c r="AC5" s="17"/>
      <c r="AD5" s="20"/>
      <c r="AE5" s="17"/>
      <c r="AF5" s="21">
        <v>46146.55193041667</v>
      </c>
      <c r="AG5" s="17"/>
      <c r="AH5" s="17"/>
      <c r="AI5" s="17"/>
      <c r="AJ5" s="17"/>
      <c r="AK5" s="17"/>
      <c r="AL5" s="17"/>
      <c r="AM5" s="17"/>
      <c r="AN5" s="17"/>
      <c r="AO5" s="17"/>
    </row>
    <row r="6">
      <c r="A6" s="16" t="s">
        <v>103</v>
      </c>
      <c r="B6" s="16" t="s">
        <v>71</v>
      </c>
      <c r="C6" s="16" t="s">
        <v>72</v>
      </c>
      <c r="D6" s="16" t="s">
        <v>104</v>
      </c>
      <c r="E6" s="16" t="s">
        <v>105</v>
      </c>
      <c r="F6" s="16" t="s">
        <v>106</v>
      </c>
      <c r="G6" s="16" t="s">
        <v>107</v>
      </c>
      <c r="H6" s="17"/>
      <c r="I6" s="17"/>
      <c r="J6" s="17"/>
      <c r="K6" s="17"/>
      <c r="L6" s="18" t="s">
        <v>108</v>
      </c>
      <c r="M6" s="18" t="s">
        <v>108</v>
      </c>
      <c r="N6" s="16" t="s">
        <v>100</v>
      </c>
      <c r="O6" s="16" t="s">
        <v>101</v>
      </c>
      <c r="P6" s="16" t="s">
        <v>102</v>
      </c>
      <c r="Q6" s="20"/>
      <c r="R6" s="17"/>
      <c r="S6" s="17"/>
      <c r="T6" s="17"/>
      <c r="U6" s="20"/>
      <c r="V6" s="17"/>
      <c r="W6" s="17"/>
      <c r="X6" s="17"/>
      <c r="Y6" s="17"/>
      <c r="Z6" s="17"/>
      <c r="AA6" s="17"/>
      <c r="AB6" s="17"/>
      <c r="AC6" s="17"/>
      <c r="AD6" s="20"/>
      <c r="AE6" s="17"/>
      <c r="AF6" s="21">
        <v>46146.55193041667</v>
      </c>
      <c r="AG6" s="17"/>
      <c r="AH6" s="17"/>
      <c r="AI6" s="17"/>
      <c r="AJ6" s="17"/>
      <c r="AK6" s="17"/>
      <c r="AL6" s="17"/>
      <c r="AM6" s="17"/>
      <c r="AN6" s="17"/>
      <c r="AO6" s="17"/>
    </row>
    <row r="7">
      <c r="A7" s="16" t="s">
        <v>109</v>
      </c>
      <c r="B7" s="16" t="s">
        <v>71</v>
      </c>
      <c r="C7" s="16" t="s">
        <v>72</v>
      </c>
      <c r="D7" s="16" t="s">
        <v>110</v>
      </c>
      <c r="E7" s="16" t="s">
        <v>111</v>
      </c>
      <c r="F7" s="16" t="s">
        <v>106</v>
      </c>
      <c r="G7" s="16" t="s">
        <v>112</v>
      </c>
      <c r="H7" s="17"/>
      <c r="I7" s="17"/>
      <c r="J7" s="17"/>
      <c r="K7" s="17"/>
      <c r="L7" s="18" t="s">
        <v>113</v>
      </c>
      <c r="M7" s="18" t="s">
        <v>113</v>
      </c>
      <c r="N7" s="16" t="s">
        <v>100</v>
      </c>
      <c r="O7" s="16" t="s">
        <v>101</v>
      </c>
      <c r="P7" s="16" t="s">
        <v>102</v>
      </c>
      <c r="Q7" s="20"/>
      <c r="R7" s="17"/>
      <c r="S7" s="17"/>
      <c r="T7" s="17"/>
      <c r="U7" s="20"/>
      <c r="V7" s="17"/>
      <c r="W7" s="17"/>
      <c r="X7" s="17"/>
      <c r="Y7" s="17"/>
      <c r="Z7" s="17"/>
      <c r="AA7" s="17"/>
      <c r="AB7" s="17"/>
      <c r="AC7" s="17"/>
      <c r="AD7" s="20"/>
      <c r="AE7" s="17"/>
      <c r="AF7" s="21">
        <v>46146.55193041667</v>
      </c>
      <c r="AG7" s="17"/>
      <c r="AH7" s="17"/>
      <c r="AI7" s="17"/>
      <c r="AJ7" s="17"/>
      <c r="AK7" s="17"/>
      <c r="AL7" s="17"/>
      <c r="AM7" s="17"/>
      <c r="AN7" s="17"/>
      <c r="AO7" s="17"/>
    </row>
    <row r="8">
      <c r="A8" s="16" t="s">
        <v>114</v>
      </c>
      <c r="B8" s="16" t="s">
        <v>71</v>
      </c>
      <c r="C8" s="16" t="s">
        <v>72</v>
      </c>
      <c r="D8" s="16" t="s">
        <v>115</v>
      </c>
      <c r="E8" s="16" t="s">
        <v>116</v>
      </c>
      <c r="F8" s="16" t="s">
        <v>106</v>
      </c>
      <c r="G8" s="16" t="s">
        <v>117</v>
      </c>
      <c r="H8" s="17"/>
      <c r="I8" s="16" t="s">
        <v>118</v>
      </c>
      <c r="J8" s="17"/>
      <c r="K8" s="16" t="s">
        <v>119</v>
      </c>
      <c r="L8" s="18" t="s">
        <v>120</v>
      </c>
      <c r="M8" s="18" t="s">
        <v>120</v>
      </c>
      <c r="N8" s="16" t="s">
        <v>100</v>
      </c>
      <c r="O8" s="16" t="s">
        <v>81</v>
      </c>
      <c r="P8" s="16" t="s">
        <v>82</v>
      </c>
      <c r="Q8" s="19">
        <v>46146.50656945602</v>
      </c>
      <c r="R8" s="17"/>
      <c r="S8" s="17"/>
      <c r="T8" s="17"/>
      <c r="U8" s="20"/>
      <c r="V8" s="17"/>
      <c r="W8" s="17"/>
      <c r="X8" s="17"/>
      <c r="Y8" s="17"/>
      <c r="Z8" s="17"/>
      <c r="AA8" s="17"/>
      <c r="AB8" s="17"/>
      <c r="AC8" s="16" t="s">
        <v>83</v>
      </c>
      <c r="AD8" s="19">
        <v>46153.0</v>
      </c>
      <c r="AE8" s="17"/>
      <c r="AF8" s="21">
        <v>46146.55193041667</v>
      </c>
      <c r="AG8" s="17"/>
      <c r="AH8" s="17"/>
      <c r="AI8" s="17"/>
      <c r="AJ8" s="17"/>
      <c r="AK8" s="17"/>
      <c r="AL8" s="17"/>
      <c r="AM8" s="17"/>
      <c r="AN8" s="17"/>
      <c r="AO8" s="17"/>
    </row>
    <row r="9">
      <c r="A9" s="16" t="s">
        <v>121</v>
      </c>
      <c r="B9" s="16" t="s">
        <v>71</v>
      </c>
      <c r="C9" s="16" t="s">
        <v>72</v>
      </c>
      <c r="D9" s="16" t="s">
        <v>122</v>
      </c>
      <c r="E9" s="16" t="s">
        <v>123</v>
      </c>
      <c r="F9" s="16" t="s">
        <v>106</v>
      </c>
      <c r="G9" s="16" t="s">
        <v>124</v>
      </c>
      <c r="H9" s="17"/>
      <c r="I9" s="16" t="s">
        <v>125</v>
      </c>
      <c r="J9" s="17"/>
      <c r="K9" s="17"/>
      <c r="L9" s="18" t="s">
        <v>126</v>
      </c>
      <c r="M9" s="18" t="s">
        <v>126</v>
      </c>
      <c r="N9" s="16" t="s">
        <v>80</v>
      </c>
      <c r="O9" s="16" t="s">
        <v>81</v>
      </c>
      <c r="P9" s="16" t="s">
        <v>82</v>
      </c>
      <c r="Q9" s="19">
        <v>46146.50672118056</v>
      </c>
      <c r="R9" s="17"/>
      <c r="S9" s="17"/>
      <c r="T9" s="17"/>
      <c r="U9" s="20"/>
      <c r="V9" s="17"/>
      <c r="W9" s="17"/>
      <c r="X9" s="17"/>
      <c r="Y9" s="17"/>
      <c r="Z9" s="17"/>
      <c r="AA9" s="17"/>
      <c r="AB9" s="17"/>
      <c r="AC9" s="16" t="s">
        <v>83</v>
      </c>
      <c r="AD9" s="19">
        <v>46153.0</v>
      </c>
      <c r="AE9" s="17"/>
      <c r="AF9" s="21">
        <v>46146.55193041667</v>
      </c>
      <c r="AG9" s="17"/>
      <c r="AH9" s="17"/>
      <c r="AI9" s="17"/>
      <c r="AJ9" s="17"/>
      <c r="AK9" s="17"/>
      <c r="AL9" s="17"/>
      <c r="AM9" s="17"/>
      <c r="AN9" s="17"/>
      <c r="AO9" s="17"/>
    </row>
    <row r="10">
      <c r="A10" s="16" t="s">
        <v>127</v>
      </c>
      <c r="B10" s="16" t="s">
        <v>71</v>
      </c>
      <c r="C10" s="16" t="s">
        <v>72</v>
      </c>
      <c r="D10" s="16" t="s">
        <v>128</v>
      </c>
      <c r="E10" s="16" t="s">
        <v>129</v>
      </c>
      <c r="F10" s="16" t="s">
        <v>106</v>
      </c>
      <c r="G10" s="16" t="s">
        <v>124</v>
      </c>
      <c r="H10" s="17"/>
      <c r="I10" s="16" t="s">
        <v>130</v>
      </c>
      <c r="J10" s="17"/>
      <c r="K10" s="17"/>
      <c r="L10" s="18" t="s">
        <v>131</v>
      </c>
      <c r="M10" s="18" t="s">
        <v>131</v>
      </c>
      <c r="N10" s="16" t="s">
        <v>80</v>
      </c>
      <c r="O10" s="16" t="s">
        <v>81</v>
      </c>
      <c r="P10" s="16" t="s">
        <v>82</v>
      </c>
      <c r="Q10" s="19">
        <v>46146.50675211806</v>
      </c>
      <c r="R10" s="17"/>
      <c r="S10" s="17"/>
      <c r="T10" s="17"/>
      <c r="U10" s="20"/>
      <c r="V10" s="17"/>
      <c r="W10" s="17"/>
      <c r="X10" s="17"/>
      <c r="Y10" s="17"/>
      <c r="Z10" s="17"/>
      <c r="AA10" s="17"/>
      <c r="AB10" s="17"/>
      <c r="AC10" s="16" t="s">
        <v>83</v>
      </c>
      <c r="AD10" s="19">
        <v>46153.0</v>
      </c>
      <c r="AE10" s="17"/>
      <c r="AF10" s="21">
        <v>46146.55193041667</v>
      </c>
      <c r="AG10" s="17"/>
      <c r="AH10" s="17"/>
      <c r="AI10" s="17"/>
      <c r="AJ10" s="17"/>
      <c r="AK10" s="17"/>
      <c r="AL10" s="17"/>
      <c r="AM10" s="17"/>
      <c r="AN10" s="17"/>
      <c r="AO10" s="17"/>
    </row>
    <row r="11">
      <c r="A11" s="16" t="s">
        <v>132</v>
      </c>
      <c r="B11" s="16" t="s">
        <v>71</v>
      </c>
      <c r="C11" s="16" t="s">
        <v>72</v>
      </c>
      <c r="D11" s="16" t="s">
        <v>133</v>
      </c>
      <c r="E11" s="16" t="s">
        <v>134</v>
      </c>
      <c r="F11" s="16" t="s">
        <v>106</v>
      </c>
      <c r="G11" s="16" t="s">
        <v>135</v>
      </c>
      <c r="H11" s="17"/>
      <c r="I11" s="17"/>
      <c r="J11" s="17"/>
      <c r="K11" s="17"/>
      <c r="L11" s="18" t="s">
        <v>136</v>
      </c>
      <c r="M11" s="18" t="s">
        <v>136</v>
      </c>
      <c r="N11" s="16" t="s">
        <v>100</v>
      </c>
      <c r="O11" s="16" t="s">
        <v>101</v>
      </c>
      <c r="P11" s="16" t="s">
        <v>102</v>
      </c>
      <c r="Q11" s="20"/>
      <c r="R11" s="17"/>
      <c r="S11" s="17"/>
      <c r="T11" s="17"/>
      <c r="U11" s="20"/>
      <c r="V11" s="17"/>
      <c r="W11" s="17"/>
      <c r="X11" s="17"/>
      <c r="Y11" s="17"/>
      <c r="Z11" s="17"/>
      <c r="AA11" s="17"/>
      <c r="AB11" s="17"/>
      <c r="AC11" s="17"/>
      <c r="AD11" s="20"/>
      <c r="AE11" s="17"/>
      <c r="AF11" s="21">
        <v>46146.55193041667</v>
      </c>
      <c r="AG11" s="17"/>
      <c r="AH11" s="17"/>
      <c r="AI11" s="17"/>
      <c r="AJ11" s="17"/>
      <c r="AK11" s="17"/>
      <c r="AL11" s="17"/>
      <c r="AM11" s="17"/>
      <c r="AN11" s="17"/>
      <c r="AO11" s="17"/>
    </row>
    <row r="12">
      <c r="A12" s="16" t="s">
        <v>137</v>
      </c>
      <c r="B12" s="16" t="s">
        <v>71</v>
      </c>
      <c r="C12" s="16" t="s">
        <v>72</v>
      </c>
      <c r="D12" s="16" t="s">
        <v>138</v>
      </c>
      <c r="E12" s="16" t="s">
        <v>123</v>
      </c>
      <c r="F12" s="16" t="s">
        <v>106</v>
      </c>
      <c r="G12" s="16" t="s">
        <v>139</v>
      </c>
      <c r="H12" s="17"/>
      <c r="I12" s="16" t="s">
        <v>140</v>
      </c>
      <c r="J12" s="17"/>
      <c r="K12" s="17"/>
      <c r="L12" s="18" t="s">
        <v>141</v>
      </c>
      <c r="M12" s="18" t="s">
        <v>141</v>
      </c>
      <c r="N12" s="16" t="s">
        <v>100</v>
      </c>
      <c r="O12" s="16" t="s">
        <v>81</v>
      </c>
      <c r="P12" s="16" t="s">
        <v>82</v>
      </c>
      <c r="Q12" s="19">
        <v>46146.50676675926</v>
      </c>
      <c r="R12" s="17"/>
      <c r="S12" s="17"/>
      <c r="T12" s="17"/>
      <c r="U12" s="20"/>
      <c r="V12" s="17"/>
      <c r="W12" s="17"/>
      <c r="X12" s="17"/>
      <c r="Y12" s="17"/>
      <c r="Z12" s="17"/>
      <c r="AA12" s="17"/>
      <c r="AB12" s="17"/>
      <c r="AC12" s="16" t="s">
        <v>83</v>
      </c>
      <c r="AD12" s="19">
        <v>46153.0</v>
      </c>
      <c r="AE12" s="17"/>
      <c r="AF12" s="21">
        <v>46146.55193041667</v>
      </c>
      <c r="AG12" s="17"/>
      <c r="AH12" s="17"/>
      <c r="AI12" s="17"/>
      <c r="AJ12" s="17"/>
      <c r="AK12" s="17"/>
      <c r="AL12" s="17"/>
      <c r="AM12" s="17"/>
      <c r="AN12" s="17"/>
      <c r="AO12" s="17"/>
    </row>
    <row r="13">
      <c r="A13" s="16" t="s">
        <v>142</v>
      </c>
      <c r="B13" s="16" t="s">
        <v>71</v>
      </c>
      <c r="C13" s="16" t="s">
        <v>72</v>
      </c>
      <c r="D13" s="16" t="s">
        <v>143</v>
      </c>
      <c r="E13" s="16" t="s">
        <v>144</v>
      </c>
      <c r="F13" s="16" t="s">
        <v>106</v>
      </c>
      <c r="G13" s="16" t="s">
        <v>139</v>
      </c>
      <c r="H13" s="17"/>
      <c r="I13" s="16" t="s">
        <v>145</v>
      </c>
      <c r="J13" s="17"/>
      <c r="K13" s="16" t="s">
        <v>146</v>
      </c>
      <c r="L13" s="18" t="s">
        <v>147</v>
      </c>
      <c r="M13" s="18" t="s">
        <v>147</v>
      </c>
      <c r="N13" s="16" t="s">
        <v>80</v>
      </c>
      <c r="O13" s="16" t="s">
        <v>81</v>
      </c>
      <c r="P13" s="16" t="s">
        <v>82</v>
      </c>
      <c r="Q13" s="19">
        <v>46146.506759537035</v>
      </c>
      <c r="R13" s="17"/>
      <c r="S13" s="17"/>
      <c r="T13" s="17"/>
      <c r="U13" s="20"/>
      <c r="V13" s="17"/>
      <c r="W13" s="17"/>
      <c r="X13" s="17"/>
      <c r="Y13" s="17"/>
      <c r="Z13" s="17"/>
      <c r="AA13" s="17"/>
      <c r="AB13" s="17"/>
      <c r="AC13" s="16" t="s">
        <v>83</v>
      </c>
      <c r="AD13" s="19">
        <v>46153.0</v>
      </c>
      <c r="AE13" s="17"/>
      <c r="AF13" s="21">
        <v>46146.55193041667</v>
      </c>
      <c r="AG13" s="17"/>
      <c r="AH13" s="17"/>
      <c r="AI13" s="17"/>
      <c r="AJ13" s="17"/>
      <c r="AK13" s="17"/>
      <c r="AL13" s="17"/>
      <c r="AM13" s="17"/>
      <c r="AN13" s="17"/>
      <c r="AO13" s="17"/>
    </row>
    <row r="14">
      <c r="A14" s="16" t="s">
        <v>148</v>
      </c>
      <c r="B14" s="16" t="s">
        <v>71</v>
      </c>
      <c r="C14" s="16" t="s">
        <v>72</v>
      </c>
      <c r="D14" s="16" t="s">
        <v>149</v>
      </c>
      <c r="E14" s="16" t="s">
        <v>134</v>
      </c>
      <c r="F14" s="16" t="s">
        <v>106</v>
      </c>
      <c r="G14" s="16" t="s">
        <v>150</v>
      </c>
      <c r="H14" s="17"/>
      <c r="I14" s="16" t="s">
        <v>151</v>
      </c>
      <c r="J14" s="17"/>
      <c r="K14" s="17"/>
      <c r="L14" s="18" t="s">
        <v>152</v>
      </c>
      <c r="M14" s="18" t="s">
        <v>152</v>
      </c>
      <c r="N14" s="16" t="s">
        <v>80</v>
      </c>
      <c r="O14" s="16" t="s">
        <v>81</v>
      </c>
      <c r="P14" s="16" t="s">
        <v>82</v>
      </c>
      <c r="Q14" s="19">
        <v>46146.50651736111</v>
      </c>
      <c r="R14" s="17"/>
      <c r="S14" s="17"/>
      <c r="T14" s="17"/>
      <c r="U14" s="20"/>
      <c r="V14" s="17"/>
      <c r="W14" s="17"/>
      <c r="X14" s="17"/>
      <c r="Y14" s="17"/>
      <c r="Z14" s="17"/>
      <c r="AA14" s="17"/>
      <c r="AB14" s="17"/>
      <c r="AC14" s="16" t="s">
        <v>83</v>
      </c>
      <c r="AD14" s="19">
        <v>46153.0</v>
      </c>
      <c r="AE14" s="17"/>
      <c r="AF14" s="21">
        <v>46146.55193041667</v>
      </c>
      <c r="AG14" s="17"/>
      <c r="AH14" s="17"/>
      <c r="AI14" s="17"/>
      <c r="AJ14" s="17"/>
      <c r="AK14" s="17"/>
      <c r="AL14" s="17"/>
      <c r="AM14" s="17"/>
      <c r="AN14" s="17"/>
      <c r="AO14" s="17"/>
    </row>
    <row r="15">
      <c r="A15" s="16" t="s">
        <v>153</v>
      </c>
      <c r="B15" s="16" t="s">
        <v>71</v>
      </c>
      <c r="C15" s="16" t="s">
        <v>72</v>
      </c>
      <c r="D15" s="16" t="s">
        <v>154</v>
      </c>
      <c r="E15" s="16" t="s">
        <v>155</v>
      </c>
      <c r="F15" s="16" t="s">
        <v>106</v>
      </c>
      <c r="G15" s="16" t="s">
        <v>156</v>
      </c>
      <c r="H15" s="17"/>
      <c r="I15" s="16" t="s">
        <v>157</v>
      </c>
      <c r="J15" s="17"/>
      <c r="K15" s="16" t="s">
        <v>158</v>
      </c>
      <c r="L15" s="18" t="s">
        <v>159</v>
      </c>
      <c r="M15" s="18" t="s">
        <v>159</v>
      </c>
      <c r="N15" s="16" t="s">
        <v>80</v>
      </c>
      <c r="O15" s="16" t="s">
        <v>81</v>
      </c>
      <c r="P15" s="16" t="s">
        <v>82</v>
      </c>
      <c r="Q15" s="19">
        <v>46146.506531875</v>
      </c>
      <c r="R15" s="17"/>
      <c r="S15" s="17"/>
      <c r="T15" s="17"/>
      <c r="U15" s="20"/>
      <c r="V15" s="17"/>
      <c r="W15" s="17"/>
      <c r="X15" s="17"/>
      <c r="Y15" s="17"/>
      <c r="Z15" s="17"/>
      <c r="AA15" s="17"/>
      <c r="AB15" s="17"/>
      <c r="AC15" s="16" t="s">
        <v>83</v>
      </c>
      <c r="AD15" s="19">
        <v>46153.0</v>
      </c>
      <c r="AE15" s="17"/>
      <c r="AF15" s="21">
        <v>46146.55193041667</v>
      </c>
      <c r="AG15" s="17"/>
      <c r="AH15" s="17"/>
      <c r="AI15" s="17"/>
      <c r="AJ15" s="17"/>
      <c r="AK15" s="17"/>
      <c r="AL15" s="17"/>
      <c r="AM15" s="17"/>
      <c r="AN15" s="17"/>
      <c r="AO15" s="17"/>
    </row>
    <row r="16">
      <c r="A16" s="16" t="s">
        <v>160</v>
      </c>
      <c r="B16" s="16" t="s">
        <v>71</v>
      </c>
      <c r="C16" s="16" t="s">
        <v>72</v>
      </c>
      <c r="D16" s="16" t="s">
        <v>161</v>
      </c>
      <c r="E16" s="16" t="s">
        <v>134</v>
      </c>
      <c r="F16" s="16" t="s">
        <v>106</v>
      </c>
      <c r="G16" s="16" t="s">
        <v>162</v>
      </c>
      <c r="H16" s="17"/>
      <c r="I16" s="16" t="s">
        <v>163</v>
      </c>
      <c r="J16" s="17"/>
      <c r="K16" s="16" t="s">
        <v>164</v>
      </c>
      <c r="L16" s="18" t="s">
        <v>165</v>
      </c>
      <c r="M16" s="18" t="s">
        <v>165</v>
      </c>
      <c r="N16" s="16" t="s">
        <v>166</v>
      </c>
      <c r="O16" s="16" t="s">
        <v>81</v>
      </c>
      <c r="P16" s="16" t="s">
        <v>82</v>
      </c>
      <c r="Q16" s="19">
        <v>46146.50638760417</v>
      </c>
      <c r="R16" s="17"/>
      <c r="S16" s="17"/>
      <c r="T16" s="17"/>
      <c r="U16" s="20"/>
      <c r="V16" s="17"/>
      <c r="W16" s="17"/>
      <c r="X16" s="17"/>
      <c r="Y16" s="17"/>
      <c r="Z16" s="17"/>
      <c r="AA16" s="17"/>
      <c r="AB16" s="17"/>
      <c r="AC16" s="16" t="s">
        <v>83</v>
      </c>
      <c r="AD16" s="19">
        <v>46153.0</v>
      </c>
      <c r="AE16" s="17"/>
      <c r="AF16" s="21">
        <v>46146.55193041667</v>
      </c>
      <c r="AG16" s="17"/>
      <c r="AH16" s="17"/>
      <c r="AI16" s="17"/>
      <c r="AJ16" s="17"/>
      <c r="AK16" s="17"/>
      <c r="AL16" s="17"/>
      <c r="AM16" s="17"/>
      <c r="AN16" s="17"/>
      <c r="AO16" s="17"/>
    </row>
    <row r="17">
      <c r="A17" s="16" t="s">
        <v>167</v>
      </c>
      <c r="B17" s="16" t="s">
        <v>71</v>
      </c>
      <c r="C17" s="16" t="s">
        <v>72</v>
      </c>
      <c r="D17" s="16" t="s">
        <v>168</v>
      </c>
      <c r="E17" s="16" t="s">
        <v>169</v>
      </c>
      <c r="F17" s="16" t="s">
        <v>106</v>
      </c>
      <c r="G17" s="16" t="s">
        <v>170</v>
      </c>
      <c r="H17" s="17"/>
      <c r="I17" s="17"/>
      <c r="J17" s="17"/>
      <c r="K17" s="17"/>
      <c r="L17" s="18" t="s">
        <v>171</v>
      </c>
      <c r="M17" s="18" t="s">
        <v>171</v>
      </c>
      <c r="N17" s="16" t="s">
        <v>100</v>
      </c>
      <c r="O17" s="16" t="s">
        <v>101</v>
      </c>
      <c r="P17" s="16" t="s">
        <v>102</v>
      </c>
      <c r="Q17" s="20"/>
      <c r="R17" s="17"/>
      <c r="S17" s="17"/>
      <c r="T17" s="17"/>
      <c r="U17" s="20"/>
      <c r="V17" s="17"/>
      <c r="W17" s="17"/>
      <c r="X17" s="17"/>
      <c r="Y17" s="17"/>
      <c r="Z17" s="17"/>
      <c r="AA17" s="17"/>
      <c r="AB17" s="17"/>
      <c r="AC17" s="17"/>
      <c r="AD17" s="20"/>
      <c r="AE17" s="17"/>
      <c r="AF17" s="21">
        <v>46146.55193041667</v>
      </c>
      <c r="AG17" s="17"/>
      <c r="AH17" s="17"/>
      <c r="AI17" s="17"/>
      <c r="AJ17" s="17"/>
      <c r="AK17" s="17"/>
      <c r="AL17" s="17"/>
      <c r="AM17" s="17"/>
      <c r="AN17" s="17"/>
      <c r="AO17" s="17"/>
    </row>
    <row r="18">
      <c r="A18" s="16" t="s">
        <v>172</v>
      </c>
      <c r="B18" s="16" t="s">
        <v>71</v>
      </c>
      <c r="C18" s="16" t="s">
        <v>72</v>
      </c>
      <c r="D18" s="16" t="s">
        <v>173</v>
      </c>
      <c r="E18" s="16" t="s">
        <v>169</v>
      </c>
      <c r="F18" s="16" t="s">
        <v>174</v>
      </c>
      <c r="G18" s="16" t="s">
        <v>175</v>
      </c>
      <c r="H18" s="17"/>
      <c r="I18" s="16" t="s">
        <v>176</v>
      </c>
      <c r="J18" s="17"/>
      <c r="K18" s="17"/>
      <c r="L18" s="18" t="s">
        <v>177</v>
      </c>
      <c r="M18" s="18" t="s">
        <v>177</v>
      </c>
      <c r="N18" s="16" t="s">
        <v>100</v>
      </c>
      <c r="O18" s="16" t="s">
        <v>81</v>
      </c>
      <c r="P18" s="16" t="s">
        <v>82</v>
      </c>
      <c r="Q18" s="19">
        <v>46146.506713587965</v>
      </c>
      <c r="R18" s="17"/>
      <c r="S18" s="17"/>
      <c r="T18" s="17"/>
      <c r="U18" s="20"/>
      <c r="V18" s="17"/>
      <c r="W18" s="17"/>
      <c r="X18" s="17"/>
      <c r="Y18" s="17"/>
      <c r="Z18" s="17"/>
      <c r="AA18" s="17"/>
      <c r="AB18" s="17"/>
      <c r="AC18" s="16" t="s">
        <v>83</v>
      </c>
      <c r="AD18" s="19">
        <v>46153.0</v>
      </c>
      <c r="AE18" s="17"/>
      <c r="AF18" s="21">
        <v>46146.55193041667</v>
      </c>
      <c r="AG18" s="17"/>
      <c r="AH18" s="17"/>
      <c r="AI18" s="17"/>
      <c r="AJ18" s="17"/>
      <c r="AK18" s="17"/>
      <c r="AL18" s="17"/>
      <c r="AM18" s="17"/>
      <c r="AN18" s="17"/>
      <c r="AO18" s="17"/>
    </row>
    <row r="19">
      <c r="A19" s="16" t="s">
        <v>178</v>
      </c>
      <c r="B19" s="16" t="s">
        <v>71</v>
      </c>
      <c r="C19" s="16" t="s">
        <v>72</v>
      </c>
      <c r="D19" s="16" t="s">
        <v>179</v>
      </c>
      <c r="E19" s="16" t="s">
        <v>180</v>
      </c>
      <c r="F19" s="16" t="s">
        <v>106</v>
      </c>
      <c r="G19" s="16" t="s">
        <v>181</v>
      </c>
      <c r="H19" s="17"/>
      <c r="I19" s="16" t="s">
        <v>182</v>
      </c>
      <c r="J19" s="17"/>
      <c r="K19" s="17"/>
      <c r="L19" s="18" t="s">
        <v>183</v>
      </c>
      <c r="M19" s="18" t="s">
        <v>183</v>
      </c>
      <c r="N19" s="16" t="s">
        <v>80</v>
      </c>
      <c r="O19" s="16" t="s">
        <v>81</v>
      </c>
      <c r="P19" s="16" t="s">
        <v>82</v>
      </c>
      <c r="Q19" s="19">
        <v>46146.50646386574</v>
      </c>
      <c r="R19" s="17"/>
      <c r="S19" s="17"/>
      <c r="T19" s="17"/>
      <c r="U19" s="20"/>
      <c r="V19" s="17"/>
      <c r="W19" s="17"/>
      <c r="X19" s="17"/>
      <c r="Y19" s="17"/>
      <c r="Z19" s="17"/>
      <c r="AA19" s="17"/>
      <c r="AB19" s="17"/>
      <c r="AC19" s="16" t="s">
        <v>83</v>
      </c>
      <c r="AD19" s="19">
        <v>46153.0</v>
      </c>
      <c r="AE19" s="17"/>
      <c r="AF19" s="21">
        <v>46146.55193041667</v>
      </c>
      <c r="AG19" s="17"/>
      <c r="AH19" s="17"/>
      <c r="AI19" s="17"/>
      <c r="AJ19" s="17"/>
      <c r="AK19" s="17"/>
      <c r="AL19" s="17"/>
      <c r="AM19" s="17"/>
      <c r="AN19" s="17"/>
      <c r="AO19" s="17"/>
    </row>
    <row r="20">
      <c r="A20" s="16" t="s">
        <v>184</v>
      </c>
      <c r="B20" s="16" t="s">
        <v>71</v>
      </c>
      <c r="C20" s="16" t="s">
        <v>72</v>
      </c>
      <c r="D20" s="16" t="s">
        <v>185</v>
      </c>
      <c r="E20" s="16" t="s">
        <v>134</v>
      </c>
      <c r="F20" s="16" t="s">
        <v>106</v>
      </c>
      <c r="G20" s="16" t="s">
        <v>186</v>
      </c>
      <c r="H20" s="17"/>
      <c r="I20" s="16" t="s">
        <v>187</v>
      </c>
      <c r="J20" s="17"/>
      <c r="K20" s="16" t="s">
        <v>188</v>
      </c>
      <c r="L20" s="18" t="s">
        <v>189</v>
      </c>
      <c r="M20" s="18" t="s">
        <v>189</v>
      </c>
      <c r="N20" s="16" t="s">
        <v>80</v>
      </c>
      <c r="O20" s="16" t="s">
        <v>81</v>
      </c>
      <c r="P20" s="16" t="s">
        <v>82</v>
      </c>
      <c r="Q20" s="19">
        <v>46146.506455462964</v>
      </c>
      <c r="R20" s="17"/>
      <c r="S20" s="17"/>
      <c r="T20" s="17"/>
      <c r="U20" s="20"/>
      <c r="V20" s="17"/>
      <c r="W20" s="17"/>
      <c r="X20" s="17"/>
      <c r="Y20" s="17"/>
      <c r="Z20" s="17"/>
      <c r="AA20" s="17"/>
      <c r="AB20" s="17"/>
      <c r="AC20" s="16" t="s">
        <v>83</v>
      </c>
      <c r="AD20" s="19">
        <v>46153.0</v>
      </c>
      <c r="AE20" s="17"/>
      <c r="AF20" s="21">
        <v>46146.55193041667</v>
      </c>
      <c r="AG20" s="17"/>
      <c r="AH20" s="17"/>
      <c r="AI20" s="17"/>
      <c r="AJ20" s="17"/>
      <c r="AK20" s="17"/>
      <c r="AL20" s="17"/>
      <c r="AM20" s="17"/>
      <c r="AN20" s="17"/>
      <c r="AO20" s="17"/>
    </row>
    <row r="21" ht="15.75" customHeight="1">
      <c r="A21" s="16" t="s">
        <v>190</v>
      </c>
      <c r="B21" s="16" t="s">
        <v>71</v>
      </c>
      <c r="C21" s="16" t="s">
        <v>72</v>
      </c>
      <c r="D21" s="16" t="s">
        <v>191</v>
      </c>
      <c r="E21" s="16" t="s">
        <v>169</v>
      </c>
      <c r="F21" s="16" t="s">
        <v>106</v>
      </c>
      <c r="G21" s="16" t="s">
        <v>192</v>
      </c>
      <c r="H21" s="17"/>
      <c r="I21" s="17"/>
      <c r="J21" s="17"/>
      <c r="K21" s="17"/>
      <c r="L21" s="18" t="s">
        <v>193</v>
      </c>
      <c r="M21" s="18" t="s">
        <v>193</v>
      </c>
      <c r="N21" s="16" t="s">
        <v>100</v>
      </c>
      <c r="O21" s="16" t="s">
        <v>101</v>
      </c>
      <c r="P21" s="16" t="s">
        <v>102</v>
      </c>
      <c r="Q21" s="20"/>
      <c r="R21" s="17"/>
      <c r="S21" s="17"/>
      <c r="T21" s="17"/>
      <c r="U21" s="20"/>
      <c r="V21" s="17"/>
      <c r="W21" s="17"/>
      <c r="X21" s="17"/>
      <c r="Y21" s="17"/>
      <c r="Z21" s="17"/>
      <c r="AA21" s="17"/>
      <c r="AB21" s="17"/>
      <c r="AC21" s="17"/>
      <c r="AD21" s="20"/>
      <c r="AE21" s="17"/>
      <c r="AF21" s="21">
        <v>46146.55193041667</v>
      </c>
      <c r="AG21" s="17"/>
      <c r="AH21" s="17"/>
      <c r="AI21" s="17"/>
      <c r="AJ21" s="17"/>
      <c r="AK21" s="17"/>
      <c r="AL21" s="17"/>
      <c r="AM21" s="17"/>
      <c r="AN21" s="17"/>
      <c r="AO21" s="17"/>
    </row>
    <row r="22" ht="15.75" customHeight="1">
      <c r="A22" s="16" t="s">
        <v>194</v>
      </c>
      <c r="B22" s="16" t="s">
        <v>71</v>
      </c>
      <c r="C22" s="16" t="s">
        <v>72</v>
      </c>
      <c r="D22" s="16" t="s">
        <v>195</v>
      </c>
      <c r="E22" s="16" t="s">
        <v>196</v>
      </c>
      <c r="F22" s="16" t="s">
        <v>197</v>
      </c>
      <c r="G22" s="16" t="s">
        <v>198</v>
      </c>
      <c r="H22" s="17"/>
      <c r="I22" s="17"/>
      <c r="J22" s="17"/>
      <c r="K22" s="17"/>
      <c r="L22" s="18" t="s">
        <v>199</v>
      </c>
      <c r="M22" s="18" t="s">
        <v>199</v>
      </c>
      <c r="N22" s="16" t="s">
        <v>80</v>
      </c>
      <c r="O22" s="16" t="s">
        <v>101</v>
      </c>
      <c r="P22" s="16" t="s">
        <v>102</v>
      </c>
      <c r="Q22" s="20"/>
      <c r="R22" s="17"/>
      <c r="S22" s="17"/>
      <c r="T22" s="17"/>
      <c r="U22" s="20"/>
      <c r="V22" s="17"/>
      <c r="W22" s="17"/>
      <c r="X22" s="17"/>
      <c r="Y22" s="17"/>
      <c r="Z22" s="17"/>
      <c r="AA22" s="17"/>
      <c r="AB22" s="17"/>
      <c r="AC22" s="17"/>
      <c r="AD22" s="20"/>
      <c r="AE22" s="17"/>
      <c r="AF22" s="21">
        <v>46146.55193041667</v>
      </c>
      <c r="AG22" s="17"/>
      <c r="AH22" s="17"/>
      <c r="AI22" s="17"/>
      <c r="AJ22" s="17"/>
      <c r="AK22" s="17"/>
      <c r="AL22" s="17"/>
      <c r="AM22" s="17"/>
      <c r="AN22" s="17"/>
      <c r="AO22" s="17"/>
    </row>
    <row r="23" ht="15.75" customHeight="1">
      <c r="A23" s="16" t="s">
        <v>200</v>
      </c>
      <c r="B23" s="16" t="s">
        <v>71</v>
      </c>
      <c r="C23" s="16" t="s">
        <v>72</v>
      </c>
      <c r="D23" s="16" t="s">
        <v>201</v>
      </c>
      <c r="E23" s="16" t="s">
        <v>202</v>
      </c>
      <c r="F23" s="16" t="s">
        <v>106</v>
      </c>
      <c r="G23" s="16" t="s">
        <v>203</v>
      </c>
      <c r="H23" s="17"/>
      <c r="I23" s="16" t="s">
        <v>204</v>
      </c>
      <c r="J23" s="17"/>
      <c r="K23" s="16" t="s">
        <v>205</v>
      </c>
      <c r="L23" s="18" t="s">
        <v>206</v>
      </c>
      <c r="M23" s="18" t="s">
        <v>206</v>
      </c>
      <c r="N23" s="16" t="s">
        <v>100</v>
      </c>
      <c r="O23" s="16" t="s">
        <v>81</v>
      </c>
      <c r="P23" s="16" t="s">
        <v>82</v>
      </c>
      <c r="Q23" s="19">
        <v>46146.50653909722</v>
      </c>
      <c r="R23" s="17"/>
      <c r="S23" s="17"/>
      <c r="T23" s="17"/>
      <c r="U23" s="20"/>
      <c r="V23" s="17"/>
      <c r="W23" s="17"/>
      <c r="X23" s="17"/>
      <c r="Y23" s="17"/>
      <c r="Z23" s="17"/>
      <c r="AA23" s="17"/>
      <c r="AB23" s="17"/>
      <c r="AC23" s="16" t="s">
        <v>83</v>
      </c>
      <c r="AD23" s="19">
        <v>46153.0</v>
      </c>
      <c r="AE23" s="17"/>
      <c r="AF23" s="21">
        <v>46146.55193041667</v>
      </c>
      <c r="AG23" s="17"/>
      <c r="AH23" s="17"/>
      <c r="AI23" s="17"/>
      <c r="AJ23" s="17"/>
      <c r="AK23" s="17"/>
      <c r="AL23" s="17"/>
      <c r="AM23" s="17"/>
      <c r="AN23" s="17"/>
      <c r="AO23" s="17"/>
    </row>
    <row r="24" ht="15.75" customHeight="1">
      <c r="A24" s="16" t="s">
        <v>207</v>
      </c>
      <c r="B24" s="16" t="s">
        <v>71</v>
      </c>
      <c r="C24" s="16" t="s">
        <v>72</v>
      </c>
      <c r="D24" s="16" t="s">
        <v>208</v>
      </c>
      <c r="E24" s="16" t="s">
        <v>169</v>
      </c>
      <c r="F24" s="16" t="s">
        <v>106</v>
      </c>
      <c r="G24" s="16" t="s">
        <v>76</v>
      </c>
      <c r="H24" s="17"/>
      <c r="I24" s="17"/>
      <c r="J24" s="17"/>
      <c r="K24" s="17"/>
      <c r="L24" s="18" t="s">
        <v>209</v>
      </c>
      <c r="M24" s="18" t="s">
        <v>209</v>
      </c>
      <c r="N24" s="16" t="s">
        <v>100</v>
      </c>
      <c r="O24" s="16" t="s">
        <v>101</v>
      </c>
      <c r="P24" s="16" t="s">
        <v>102</v>
      </c>
      <c r="Q24" s="20"/>
      <c r="R24" s="17"/>
      <c r="S24" s="17"/>
      <c r="T24" s="17"/>
      <c r="U24" s="20"/>
      <c r="V24" s="17"/>
      <c r="W24" s="17"/>
      <c r="X24" s="17"/>
      <c r="Y24" s="17"/>
      <c r="Z24" s="17"/>
      <c r="AA24" s="17"/>
      <c r="AB24" s="17"/>
      <c r="AC24" s="17"/>
      <c r="AD24" s="20"/>
      <c r="AE24" s="17"/>
      <c r="AF24" s="21">
        <v>46146.55193041667</v>
      </c>
      <c r="AG24" s="17"/>
      <c r="AH24" s="17"/>
      <c r="AI24" s="17"/>
      <c r="AJ24" s="17"/>
      <c r="AK24" s="17"/>
      <c r="AL24" s="17"/>
      <c r="AM24" s="17"/>
      <c r="AN24" s="17"/>
      <c r="AO24" s="17"/>
    </row>
    <row r="25" ht="15.75" customHeight="1">
      <c r="A25" s="16" t="s">
        <v>210</v>
      </c>
      <c r="B25" s="16" t="s">
        <v>71</v>
      </c>
      <c r="C25" s="16" t="s">
        <v>72</v>
      </c>
      <c r="D25" s="16" t="s">
        <v>211</v>
      </c>
      <c r="E25" s="16" t="s">
        <v>212</v>
      </c>
      <c r="F25" s="16" t="s">
        <v>106</v>
      </c>
      <c r="G25" s="16" t="s">
        <v>213</v>
      </c>
      <c r="H25" s="17"/>
      <c r="I25" s="16" t="s">
        <v>214</v>
      </c>
      <c r="J25" s="17"/>
      <c r="K25" s="16" t="s">
        <v>215</v>
      </c>
      <c r="L25" s="18" t="s">
        <v>216</v>
      </c>
      <c r="M25" s="18" t="s">
        <v>216</v>
      </c>
      <c r="N25" s="16" t="s">
        <v>80</v>
      </c>
      <c r="O25" s="16" t="s">
        <v>81</v>
      </c>
      <c r="P25" s="16" t="s">
        <v>82</v>
      </c>
      <c r="Q25" s="19">
        <v>46146.50644844907</v>
      </c>
      <c r="R25" s="17"/>
      <c r="S25" s="17"/>
      <c r="T25" s="17"/>
      <c r="U25" s="20"/>
      <c r="V25" s="17"/>
      <c r="W25" s="17"/>
      <c r="X25" s="17"/>
      <c r="Y25" s="17"/>
      <c r="Z25" s="17"/>
      <c r="AA25" s="17"/>
      <c r="AB25" s="17"/>
      <c r="AC25" s="16" t="s">
        <v>83</v>
      </c>
      <c r="AD25" s="19">
        <v>46153.0</v>
      </c>
      <c r="AE25" s="17"/>
      <c r="AF25" s="21">
        <v>46146.55193041667</v>
      </c>
      <c r="AG25" s="17"/>
      <c r="AH25" s="17"/>
      <c r="AI25" s="17"/>
      <c r="AJ25" s="17"/>
      <c r="AK25" s="17"/>
      <c r="AL25" s="17"/>
      <c r="AM25" s="17"/>
      <c r="AN25" s="17"/>
      <c r="AO25" s="17"/>
    </row>
    <row r="26" ht="15.75" customHeight="1">
      <c r="A26" s="16" t="s">
        <v>217</v>
      </c>
      <c r="B26" s="16" t="s">
        <v>71</v>
      </c>
      <c r="C26" s="16" t="s">
        <v>72</v>
      </c>
      <c r="D26" s="16" t="s">
        <v>218</v>
      </c>
      <c r="E26" s="16" t="s">
        <v>219</v>
      </c>
      <c r="F26" s="16" t="s">
        <v>106</v>
      </c>
      <c r="G26" s="16" t="s">
        <v>220</v>
      </c>
      <c r="H26" s="17"/>
      <c r="I26" s="16" t="s">
        <v>221</v>
      </c>
      <c r="J26" s="17"/>
      <c r="K26" s="16" t="s">
        <v>222</v>
      </c>
      <c r="L26" s="18" t="s">
        <v>223</v>
      </c>
      <c r="M26" s="18" t="s">
        <v>223</v>
      </c>
      <c r="N26" s="16" t="s">
        <v>100</v>
      </c>
      <c r="O26" s="16" t="s">
        <v>81</v>
      </c>
      <c r="P26" s="16" t="s">
        <v>82</v>
      </c>
      <c r="Q26" s="19">
        <v>46146.50669918982</v>
      </c>
      <c r="R26" s="17"/>
      <c r="S26" s="17"/>
      <c r="T26" s="17"/>
      <c r="U26" s="20"/>
      <c r="V26" s="17"/>
      <c r="W26" s="17"/>
      <c r="X26" s="17"/>
      <c r="Y26" s="17"/>
      <c r="Z26" s="17"/>
      <c r="AA26" s="17"/>
      <c r="AB26" s="17"/>
      <c r="AC26" s="16" t="s">
        <v>83</v>
      </c>
      <c r="AD26" s="19">
        <v>46153.0</v>
      </c>
      <c r="AE26" s="17"/>
      <c r="AF26" s="21">
        <v>46146.55193041667</v>
      </c>
      <c r="AG26" s="17"/>
      <c r="AH26" s="17"/>
      <c r="AI26" s="17"/>
      <c r="AJ26" s="17"/>
      <c r="AK26" s="17"/>
      <c r="AL26" s="17"/>
      <c r="AM26" s="17"/>
      <c r="AN26" s="17"/>
      <c r="AO26" s="17"/>
    </row>
    <row r="27" ht="15.75" customHeight="1">
      <c r="A27" s="16" t="s">
        <v>224</v>
      </c>
      <c r="B27" s="16" t="s">
        <v>71</v>
      </c>
      <c r="C27" s="16" t="s">
        <v>72</v>
      </c>
      <c r="D27" s="16" t="s">
        <v>225</v>
      </c>
      <c r="E27" s="16" t="s">
        <v>219</v>
      </c>
      <c r="F27" s="16" t="s">
        <v>106</v>
      </c>
      <c r="G27" s="16" t="s">
        <v>226</v>
      </c>
      <c r="H27" s="17"/>
      <c r="I27" s="16" t="s">
        <v>227</v>
      </c>
      <c r="J27" s="17"/>
      <c r="K27" s="16" t="s">
        <v>228</v>
      </c>
      <c r="L27" s="18" t="s">
        <v>229</v>
      </c>
      <c r="M27" s="18" t="s">
        <v>229</v>
      </c>
      <c r="N27" s="16" t="s">
        <v>100</v>
      </c>
      <c r="O27" s="16" t="s">
        <v>81</v>
      </c>
      <c r="P27" s="16" t="s">
        <v>82</v>
      </c>
      <c r="Q27" s="19">
        <v>46146.506577106484</v>
      </c>
      <c r="R27" s="17"/>
      <c r="S27" s="17"/>
      <c r="T27" s="17"/>
      <c r="U27" s="20"/>
      <c r="V27" s="17"/>
      <c r="W27" s="17"/>
      <c r="X27" s="17"/>
      <c r="Y27" s="17"/>
      <c r="Z27" s="17"/>
      <c r="AA27" s="17"/>
      <c r="AB27" s="17"/>
      <c r="AC27" s="16" t="s">
        <v>83</v>
      </c>
      <c r="AD27" s="19">
        <v>46153.0</v>
      </c>
      <c r="AE27" s="17"/>
      <c r="AF27" s="21">
        <v>46146.55193041667</v>
      </c>
      <c r="AG27" s="17"/>
      <c r="AH27" s="17"/>
      <c r="AI27" s="17"/>
      <c r="AJ27" s="17"/>
      <c r="AK27" s="17"/>
      <c r="AL27" s="17"/>
      <c r="AM27" s="17"/>
      <c r="AN27" s="17"/>
      <c r="AO27" s="17"/>
    </row>
    <row r="28" ht="15.75" customHeight="1">
      <c r="A28" s="16" t="s">
        <v>230</v>
      </c>
      <c r="B28" s="16" t="s">
        <v>71</v>
      </c>
      <c r="C28" s="16" t="s">
        <v>72</v>
      </c>
      <c r="D28" s="16" t="s">
        <v>231</v>
      </c>
      <c r="E28" s="16" t="s">
        <v>232</v>
      </c>
      <c r="F28" s="16" t="s">
        <v>106</v>
      </c>
      <c r="G28" s="16" t="s">
        <v>233</v>
      </c>
      <c r="H28" s="17"/>
      <c r="I28" s="16" t="s">
        <v>234</v>
      </c>
      <c r="J28" s="17"/>
      <c r="K28" s="17"/>
      <c r="L28" s="18" t="s">
        <v>235</v>
      </c>
      <c r="M28" s="18" t="s">
        <v>235</v>
      </c>
      <c r="N28" s="16" t="s">
        <v>100</v>
      </c>
      <c r="O28" s="16" t="s">
        <v>81</v>
      </c>
      <c r="P28" s="16" t="s">
        <v>82</v>
      </c>
      <c r="Q28" s="19">
        <v>46146.50682929398</v>
      </c>
      <c r="R28" s="17"/>
      <c r="S28" s="17"/>
      <c r="T28" s="17"/>
      <c r="U28" s="20"/>
      <c r="V28" s="17"/>
      <c r="W28" s="17"/>
      <c r="X28" s="17"/>
      <c r="Y28" s="17"/>
      <c r="Z28" s="17"/>
      <c r="AA28" s="17"/>
      <c r="AB28" s="17"/>
      <c r="AC28" s="16" t="s">
        <v>83</v>
      </c>
      <c r="AD28" s="19">
        <v>46153.0</v>
      </c>
      <c r="AE28" s="17"/>
      <c r="AF28" s="21">
        <v>46146.55193041667</v>
      </c>
      <c r="AG28" s="17"/>
      <c r="AH28" s="17"/>
      <c r="AI28" s="17"/>
      <c r="AJ28" s="17"/>
      <c r="AK28" s="17"/>
      <c r="AL28" s="17"/>
      <c r="AM28" s="17"/>
      <c r="AN28" s="17"/>
      <c r="AO28" s="17"/>
    </row>
    <row r="29" ht="15.75" customHeight="1">
      <c r="A29" s="16" t="s">
        <v>236</v>
      </c>
      <c r="B29" s="16" t="s">
        <v>71</v>
      </c>
      <c r="C29" s="16" t="s">
        <v>72</v>
      </c>
      <c r="D29" s="16" t="s">
        <v>237</v>
      </c>
      <c r="E29" s="16" t="s">
        <v>238</v>
      </c>
      <c r="F29" s="16" t="s">
        <v>106</v>
      </c>
      <c r="G29" s="16" t="s">
        <v>239</v>
      </c>
      <c r="H29" s="17"/>
      <c r="I29" s="16" t="s">
        <v>240</v>
      </c>
      <c r="J29" s="17"/>
      <c r="K29" s="17"/>
      <c r="L29" s="18" t="s">
        <v>235</v>
      </c>
      <c r="M29" s="18" t="s">
        <v>235</v>
      </c>
      <c r="N29" s="16" t="s">
        <v>100</v>
      </c>
      <c r="O29" s="16" t="s">
        <v>81</v>
      </c>
      <c r="P29" s="16" t="s">
        <v>82</v>
      </c>
      <c r="Q29" s="19">
        <v>46146.506836712964</v>
      </c>
      <c r="R29" s="17"/>
      <c r="S29" s="17"/>
      <c r="T29" s="17"/>
      <c r="U29" s="20"/>
      <c r="V29" s="17"/>
      <c r="W29" s="17"/>
      <c r="X29" s="17"/>
      <c r="Y29" s="17"/>
      <c r="Z29" s="17"/>
      <c r="AA29" s="17"/>
      <c r="AB29" s="17"/>
      <c r="AC29" s="16" t="s">
        <v>83</v>
      </c>
      <c r="AD29" s="19">
        <v>46153.0</v>
      </c>
      <c r="AE29" s="17"/>
      <c r="AF29" s="21">
        <v>46146.55193041667</v>
      </c>
      <c r="AG29" s="17"/>
      <c r="AH29" s="17"/>
      <c r="AI29" s="17"/>
      <c r="AJ29" s="17"/>
      <c r="AK29" s="17"/>
      <c r="AL29" s="17"/>
      <c r="AM29" s="17"/>
      <c r="AN29" s="17"/>
      <c r="AO29" s="17"/>
    </row>
    <row r="30" ht="15.75" customHeight="1">
      <c r="A30" s="16" t="s">
        <v>241</v>
      </c>
      <c r="B30" s="16" t="s">
        <v>71</v>
      </c>
      <c r="C30" s="16" t="s">
        <v>72</v>
      </c>
      <c r="D30" s="16" t="s">
        <v>242</v>
      </c>
      <c r="E30" s="16" t="s">
        <v>169</v>
      </c>
      <c r="F30" s="16" t="s">
        <v>106</v>
      </c>
      <c r="G30" s="16" t="s">
        <v>243</v>
      </c>
      <c r="H30" s="17"/>
      <c r="I30" s="17"/>
      <c r="J30" s="17"/>
      <c r="K30" s="17"/>
      <c r="L30" s="18" t="s">
        <v>244</v>
      </c>
      <c r="M30" s="18" t="s">
        <v>244</v>
      </c>
      <c r="N30" s="16" t="s">
        <v>100</v>
      </c>
      <c r="O30" s="16" t="s">
        <v>101</v>
      </c>
      <c r="P30" s="16" t="s">
        <v>102</v>
      </c>
      <c r="Q30" s="20"/>
      <c r="R30" s="17"/>
      <c r="S30" s="17"/>
      <c r="T30" s="17"/>
      <c r="U30" s="20"/>
      <c r="V30" s="17"/>
      <c r="W30" s="17"/>
      <c r="X30" s="17"/>
      <c r="Y30" s="17"/>
      <c r="Z30" s="17"/>
      <c r="AA30" s="17"/>
      <c r="AB30" s="17"/>
      <c r="AC30" s="17"/>
      <c r="AD30" s="20"/>
      <c r="AE30" s="17"/>
      <c r="AF30" s="21">
        <v>46146.55193041667</v>
      </c>
      <c r="AG30" s="17"/>
      <c r="AH30" s="17"/>
      <c r="AI30" s="17"/>
      <c r="AJ30" s="17"/>
      <c r="AK30" s="17"/>
      <c r="AL30" s="17"/>
      <c r="AM30" s="17"/>
      <c r="AN30" s="17"/>
      <c r="AO30" s="17"/>
    </row>
    <row r="31" ht="15.75" customHeight="1">
      <c r="A31" s="16" t="s">
        <v>245</v>
      </c>
      <c r="B31" s="16" t="s">
        <v>71</v>
      </c>
      <c r="C31" s="16" t="s">
        <v>72</v>
      </c>
      <c r="D31" s="16" t="s">
        <v>246</v>
      </c>
      <c r="E31" s="16" t="s">
        <v>247</v>
      </c>
      <c r="F31" s="16" t="s">
        <v>106</v>
      </c>
      <c r="G31" s="16" t="s">
        <v>248</v>
      </c>
      <c r="H31" s="17"/>
      <c r="I31" s="16" t="s">
        <v>249</v>
      </c>
      <c r="J31" s="17"/>
      <c r="K31" s="17"/>
      <c r="L31" s="18" t="s">
        <v>235</v>
      </c>
      <c r="M31" s="18" t="s">
        <v>235</v>
      </c>
      <c r="N31" s="16" t="s">
        <v>100</v>
      </c>
      <c r="O31" s="16" t="s">
        <v>81</v>
      </c>
      <c r="P31" s="16" t="s">
        <v>82</v>
      </c>
      <c r="Q31" s="19">
        <v>46146.50690142361</v>
      </c>
      <c r="R31" s="17"/>
      <c r="S31" s="17"/>
      <c r="T31" s="17"/>
      <c r="U31" s="20"/>
      <c r="V31" s="17"/>
      <c r="W31" s="17"/>
      <c r="X31" s="17"/>
      <c r="Y31" s="17"/>
      <c r="Z31" s="17"/>
      <c r="AA31" s="17"/>
      <c r="AB31" s="17"/>
      <c r="AC31" s="16" t="s">
        <v>83</v>
      </c>
      <c r="AD31" s="19">
        <v>46153.0</v>
      </c>
      <c r="AE31" s="17"/>
      <c r="AF31" s="21">
        <v>46146.55193041667</v>
      </c>
      <c r="AG31" s="17"/>
      <c r="AH31" s="17"/>
      <c r="AI31" s="17"/>
      <c r="AJ31" s="17"/>
      <c r="AK31" s="17"/>
      <c r="AL31" s="17"/>
      <c r="AM31" s="17"/>
      <c r="AN31" s="17"/>
      <c r="AO31" s="17"/>
    </row>
    <row r="32" ht="15.75" customHeight="1">
      <c r="A32" s="16" t="s">
        <v>250</v>
      </c>
      <c r="B32" s="16" t="s">
        <v>71</v>
      </c>
      <c r="C32" s="16" t="s">
        <v>72</v>
      </c>
      <c r="D32" s="16" t="s">
        <v>251</v>
      </c>
      <c r="E32" s="16" t="s">
        <v>105</v>
      </c>
      <c r="F32" s="16" t="s">
        <v>174</v>
      </c>
      <c r="G32" s="16" t="s">
        <v>252</v>
      </c>
      <c r="H32" s="17"/>
      <c r="I32" s="17"/>
      <c r="J32" s="17"/>
      <c r="K32" s="17"/>
      <c r="L32" s="18" t="s">
        <v>253</v>
      </c>
      <c r="M32" s="18" t="s">
        <v>253</v>
      </c>
      <c r="N32" s="16" t="s">
        <v>100</v>
      </c>
      <c r="O32" s="16" t="s">
        <v>101</v>
      </c>
      <c r="P32" s="16" t="s">
        <v>102</v>
      </c>
      <c r="Q32" s="20"/>
      <c r="R32" s="17"/>
      <c r="S32" s="17"/>
      <c r="T32" s="17"/>
      <c r="U32" s="20"/>
      <c r="V32" s="17"/>
      <c r="W32" s="17"/>
      <c r="X32" s="17"/>
      <c r="Y32" s="17"/>
      <c r="Z32" s="17"/>
      <c r="AA32" s="17"/>
      <c r="AB32" s="17"/>
      <c r="AC32" s="17"/>
      <c r="AD32" s="20"/>
      <c r="AE32" s="17"/>
      <c r="AF32" s="21">
        <v>46146.55193041667</v>
      </c>
      <c r="AG32" s="17"/>
      <c r="AH32" s="17"/>
      <c r="AI32" s="17"/>
      <c r="AJ32" s="17"/>
      <c r="AK32" s="17"/>
      <c r="AL32" s="17"/>
      <c r="AM32" s="17"/>
      <c r="AN32" s="17"/>
      <c r="AO32" s="17"/>
    </row>
    <row r="33" ht="15.75" customHeight="1">
      <c r="A33" s="16" t="s">
        <v>254</v>
      </c>
      <c r="B33" s="16" t="s">
        <v>71</v>
      </c>
      <c r="C33" s="16" t="s">
        <v>72</v>
      </c>
      <c r="D33" s="16" t="s">
        <v>255</v>
      </c>
      <c r="E33" s="16" t="s">
        <v>134</v>
      </c>
      <c r="F33" s="16" t="s">
        <v>106</v>
      </c>
      <c r="G33" s="16" t="s">
        <v>256</v>
      </c>
      <c r="H33" s="17"/>
      <c r="I33" s="16" t="s">
        <v>257</v>
      </c>
      <c r="J33" s="17"/>
      <c r="K33" s="17"/>
      <c r="L33" s="18" t="s">
        <v>258</v>
      </c>
      <c r="M33" s="18" t="s">
        <v>258</v>
      </c>
      <c r="N33" s="16" t="s">
        <v>166</v>
      </c>
      <c r="O33" s="16" t="s">
        <v>81</v>
      </c>
      <c r="P33" s="16" t="s">
        <v>82</v>
      </c>
      <c r="Q33" s="19">
        <v>46146.506441053236</v>
      </c>
      <c r="R33" s="17"/>
      <c r="S33" s="17"/>
      <c r="T33" s="17"/>
      <c r="U33" s="20"/>
      <c r="V33" s="17"/>
      <c r="W33" s="17"/>
      <c r="X33" s="17"/>
      <c r="Y33" s="17"/>
      <c r="Z33" s="17"/>
      <c r="AA33" s="17"/>
      <c r="AB33" s="17"/>
      <c r="AC33" s="16" t="s">
        <v>83</v>
      </c>
      <c r="AD33" s="19">
        <v>46153.0</v>
      </c>
      <c r="AE33" s="17"/>
      <c r="AF33" s="21">
        <v>46146.55193041667</v>
      </c>
      <c r="AG33" s="17"/>
      <c r="AH33" s="17"/>
      <c r="AI33" s="17"/>
      <c r="AJ33" s="17"/>
      <c r="AK33" s="17"/>
      <c r="AL33" s="17"/>
      <c r="AM33" s="17"/>
      <c r="AN33" s="17"/>
      <c r="AO33" s="17"/>
    </row>
    <row r="34" ht="15.75" customHeight="1">
      <c r="A34" s="16" t="s">
        <v>259</v>
      </c>
      <c r="B34" s="16" t="s">
        <v>71</v>
      </c>
      <c r="C34" s="16" t="s">
        <v>72</v>
      </c>
      <c r="D34" s="16" t="s">
        <v>260</v>
      </c>
      <c r="E34" s="16" t="s">
        <v>261</v>
      </c>
      <c r="F34" s="16" t="s">
        <v>106</v>
      </c>
      <c r="G34" s="16" t="s">
        <v>262</v>
      </c>
      <c r="H34" s="17"/>
      <c r="I34" s="17"/>
      <c r="J34" s="17"/>
      <c r="K34" s="17"/>
      <c r="L34" s="18" t="s">
        <v>263</v>
      </c>
      <c r="M34" s="18" t="s">
        <v>263</v>
      </c>
      <c r="N34" s="16" t="s">
        <v>80</v>
      </c>
      <c r="O34" s="16" t="s">
        <v>101</v>
      </c>
      <c r="P34" s="16" t="s">
        <v>102</v>
      </c>
      <c r="Q34" s="20"/>
      <c r="R34" s="17"/>
      <c r="S34" s="17"/>
      <c r="T34" s="17"/>
      <c r="U34" s="20"/>
      <c r="V34" s="17"/>
      <c r="W34" s="17"/>
      <c r="X34" s="17"/>
      <c r="Y34" s="17"/>
      <c r="Z34" s="17"/>
      <c r="AA34" s="17"/>
      <c r="AB34" s="17"/>
      <c r="AC34" s="17"/>
      <c r="AD34" s="20"/>
      <c r="AE34" s="17"/>
      <c r="AF34" s="21">
        <v>46146.55193041667</v>
      </c>
      <c r="AG34" s="17"/>
      <c r="AH34" s="17"/>
      <c r="AI34" s="17"/>
      <c r="AJ34" s="17"/>
      <c r="AK34" s="17"/>
      <c r="AL34" s="17"/>
      <c r="AM34" s="17"/>
      <c r="AN34" s="17"/>
      <c r="AO34" s="17"/>
    </row>
    <row r="35" ht="15.75" customHeight="1">
      <c r="A35" s="16" t="s">
        <v>264</v>
      </c>
      <c r="B35" s="16" t="s">
        <v>71</v>
      </c>
      <c r="C35" s="16" t="s">
        <v>72</v>
      </c>
      <c r="D35" s="16" t="s">
        <v>265</v>
      </c>
      <c r="E35" s="16" t="s">
        <v>134</v>
      </c>
      <c r="F35" s="16" t="s">
        <v>106</v>
      </c>
      <c r="G35" s="16" t="s">
        <v>266</v>
      </c>
      <c r="H35" s="17"/>
      <c r="I35" s="16" t="s">
        <v>267</v>
      </c>
      <c r="J35" s="17"/>
      <c r="K35" s="16" t="s">
        <v>268</v>
      </c>
      <c r="L35" s="18" t="s">
        <v>269</v>
      </c>
      <c r="M35" s="18" t="s">
        <v>269</v>
      </c>
      <c r="N35" s="16" t="s">
        <v>80</v>
      </c>
      <c r="O35" s="16" t="s">
        <v>81</v>
      </c>
      <c r="P35" s="16" t="s">
        <v>82</v>
      </c>
      <c r="Q35" s="19">
        <v>46146.50652462963</v>
      </c>
      <c r="R35" s="17"/>
      <c r="S35" s="17"/>
      <c r="T35" s="17"/>
      <c r="U35" s="20"/>
      <c r="V35" s="17"/>
      <c r="W35" s="17"/>
      <c r="X35" s="17"/>
      <c r="Y35" s="17"/>
      <c r="Z35" s="17"/>
      <c r="AA35" s="17"/>
      <c r="AB35" s="17"/>
      <c r="AC35" s="16" t="s">
        <v>83</v>
      </c>
      <c r="AD35" s="19">
        <v>46153.0</v>
      </c>
      <c r="AE35" s="17"/>
      <c r="AF35" s="21">
        <v>46146.55193041667</v>
      </c>
      <c r="AG35" s="17"/>
      <c r="AH35" s="17"/>
      <c r="AI35" s="17"/>
      <c r="AJ35" s="17"/>
      <c r="AK35" s="17"/>
      <c r="AL35" s="17"/>
      <c r="AM35" s="17"/>
      <c r="AN35" s="17"/>
      <c r="AO35" s="17"/>
    </row>
    <row r="36" ht="15.75" customHeight="1">
      <c r="A36" s="16" t="s">
        <v>270</v>
      </c>
      <c r="B36" s="16" t="s">
        <v>71</v>
      </c>
      <c r="C36" s="16" t="s">
        <v>72</v>
      </c>
      <c r="D36" s="16" t="s">
        <v>271</v>
      </c>
      <c r="E36" s="16" t="s">
        <v>272</v>
      </c>
      <c r="F36" s="16" t="s">
        <v>75</v>
      </c>
      <c r="G36" s="16" t="s">
        <v>87</v>
      </c>
      <c r="H36" s="17"/>
      <c r="I36" s="16" t="s">
        <v>273</v>
      </c>
      <c r="J36" s="17"/>
      <c r="K36" s="16" t="s">
        <v>274</v>
      </c>
      <c r="L36" s="18" t="s">
        <v>275</v>
      </c>
      <c r="M36" s="18" t="s">
        <v>275</v>
      </c>
      <c r="N36" s="16" t="s">
        <v>80</v>
      </c>
      <c r="O36" s="16" t="s">
        <v>81</v>
      </c>
      <c r="P36" s="16" t="s">
        <v>82</v>
      </c>
      <c r="Q36" s="19">
        <v>46146.50629564815</v>
      </c>
      <c r="R36" s="17"/>
      <c r="S36" s="17"/>
      <c r="T36" s="17"/>
      <c r="U36" s="20"/>
      <c r="V36" s="17"/>
      <c r="W36" s="17"/>
      <c r="X36" s="17"/>
      <c r="Y36" s="17"/>
      <c r="Z36" s="17"/>
      <c r="AA36" s="17"/>
      <c r="AB36" s="17"/>
      <c r="AC36" s="16" t="s">
        <v>83</v>
      </c>
      <c r="AD36" s="19">
        <v>46153.0</v>
      </c>
      <c r="AE36" s="17"/>
      <c r="AF36" s="21">
        <v>46146.55193041667</v>
      </c>
      <c r="AG36" s="17"/>
      <c r="AH36" s="17"/>
      <c r="AI36" s="17"/>
      <c r="AJ36" s="17"/>
      <c r="AK36" s="17"/>
      <c r="AL36" s="17"/>
      <c r="AM36" s="17"/>
      <c r="AN36" s="17"/>
      <c r="AO36" s="17"/>
    </row>
    <row r="37" ht="15.75" customHeight="1">
      <c r="A37" s="16" t="s">
        <v>276</v>
      </c>
      <c r="B37" s="16" t="s">
        <v>71</v>
      </c>
      <c r="C37" s="16" t="s">
        <v>72</v>
      </c>
      <c r="D37" s="16" t="s">
        <v>277</v>
      </c>
      <c r="E37" s="16" t="s">
        <v>278</v>
      </c>
      <c r="F37" s="16" t="s">
        <v>279</v>
      </c>
      <c r="G37" s="16" t="s">
        <v>87</v>
      </c>
      <c r="H37" s="17"/>
      <c r="I37" s="17"/>
      <c r="J37" s="17"/>
      <c r="K37" s="17"/>
      <c r="L37" s="18" t="s">
        <v>280</v>
      </c>
      <c r="M37" s="18" t="s">
        <v>280</v>
      </c>
      <c r="N37" s="16" t="s">
        <v>100</v>
      </c>
      <c r="O37" s="16" t="s">
        <v>101</v>
      </c>
      <c r="P37" s="16" t="s">
        <v>102</v>
      </c>
      <c r="Q37" s="20"/>
      <c r="R37" s="17"/>
      <c r="S37" s="17"/>
      <c r="T37" s="17"/>
      <c r="U37" s="20"/>
      <c r="V37" s="17"/>
      <c r="W37" s="17"/>
      <c r="X37" s="17"/>
      <c r="Y37" s="17"/>
      <c r="Z37" s="17"/>
      <c r="AA37" s="17"/>
      <c r="AB37" s="17"/>
      <c r="AC37" s="17"/>
      <c r="AD37" s="20"/>
      <c r="AE37" s="17"/>
      <c r="AF37" s="21">
        <v>46146.55193041667</v>
      </c>
      <c r="AG37" s="17"/>
      <c r="AH37" s="17"/>
      <c r="AI37" s="17"/>
      <c r="AJ37" s="17"/>
      <c r="AK37" s="17"/>
      <c r="AL37" s="17"/>
      <c r="AM37" s="17"/>
      <c r="AN37" s="17"/>
      <c r="AO37" s="17"/>
    </row>
    <row r="38" ht="15.75" customHeight="1">
      <c r="A38" s="16" t="s">
        <v>281</v>
      </c>
      <c r="B38" s="16" t="s">
        <v>71</v>
      </c>
      <c r="C38" s="16" t="s">
        <v>72</v>
      </c>
      <c r="D38" s="18" t="s">
        <v>282</v>
      </c>
      <c r="E38" s="16" t="s">
        <v>283</v>
      </c>
      <c r="F38" s="16" t="s">
        <v>279</v>
      </c>
      <c r="G38" s="16" t="s">
        <v>87</v>
      </c>
      <c r="H38" s="17"/>
      <c r="I38" s="17"/>
      <c r="J38" s="17"/>
      <c r="K38" s="17"/>
      <c r="L38" s="18" t="s">
        <v>284</v>
      </c>
      <c r="M38" s="18" t="s">
        <v>284</v>
      </c>
      <c r="N38" s="16" t="s">
        <v>100</v>
      </c>
      <c r="O38" s="16" t="s">
        <v>101</v>
      </c>
      <c r="P38" s="16" t="s">
        <v>102</v>
      </c>
      <c r="Q38" s="20"/>
      <c r="R38" s="17"/>
      <c r="S38" s="17"/>
      <c r="T38" s="17"/>
      <c r="U38" s="20"/>
      <c r="V38" s="17"/>
      <c r="W38" s="17"/>
      <c r="X38" s="17"/>
      <c r="Y38" s="17"/>
      <c r="Z38" s="17"/>
      <c r="AA38" s="17"/>
      <c r="AB38" s="17"/>
      <c r="AC38" s="17"/>
      <c r="AD38" s="20"/>
      <c r="AE38" s="17"/>
      <c r="AF38" s="21">
        <v>46146.55193041667</v>
      </c>
      <c r="AG38" s="17"/>
      <c r="AH38" s="17"/>
      <c r="AI38" s="17"/>
      <c r="AJ38" s="17"/>
      <c r="AK38" s="17"/>
      <c r="AL38" s="17"/>
      <c r="AM38" s="17"/>
      <c r="AN38" s="17"/>
      <c r="AO38" s="17"/>
    </row>
    <row r="39" ht="15.75" customHeight="1">
      <c r="A39" s="16" t="s">
        <v>285</v>
      </c>
      <c r="B39" s="16" t="s">
        <v>71</v>
      </c>
      <c r="C39" s="16" t="s">
        <v>72</v>
      </c>
      <c r="D39" s="16" t="s">
        <v>286</v>
      </c>
      <c r="E39" s="16" t="s">
        <v>287</v>
      </c>
      <c r="F39" s="16" t="s">
        <v>24</v>
      </c>
      <c r="G39" s="16" t="s">
        <v>87</v>
      </c>
      <c r="H39" s="17"/>
      <c r="I39" s="16" t="s">
        <v>288</v>
      </c>
      <c r="J39" s="17"/>
      <c r="K39" s="17"/>
      <c r="L39" s="18" t="s">
        <v>289</v>
      </c>
      <c r="M39" s="18" t="s">
        <v>289</v>
      </c>
      <c r="N39" s="16" t="s">
        <v>80</v>
      </c>
      <c r="O39" s="16" t="s">
        <v>81</v>
      </c>
      <c r="P39" s="16" t="s">
        <v>82</v>
      </c>
      <c r="Q39" s="19">
        <v>46146.50531116898</v>
      </c>
      <c r="R39" s="17"/>
      <c r="S39" s="17"/>
      <c r="T39" s="17"/>
      <c r="U39" s="20"/>
      <c r="V39" s="17"/>
      <c r="W39" s="17"/>
      <c r="X39" s="17"/>
      <c r="Y39" s="17"/>
      <c r="Z39" s="17"/>
      <c r="AA39" s="17"/>
      <c r="AB39" s="17"/>
      <c r="AC39" s="16" t="s">
        <v>83</v>
      </c>
      <c r="AD39" s="19">
        <v>46153.0</v>
      </c>
      <c r="AE39" s="17"/>
      <c r="AF39" s="21">
        <v>46146.55193041667</v>
      </c>
      <c r="AG39" s="17"/>
      <c r="AH39" s="17"/>
      <c r="AI39" s="17"/>
      <c r="AJ39" s="17"/>
      <c r="AK39" s="17"/>
      <c r="AL39" s="17"/>
      <c r="AM39" s="17"/>
      <c r="AN39" s="17"/>
      <c r="AO39" s="17"/>
    </row>
    <row r="40" ht="15.75" customHeight="1">
      <c r="A40" s="16" t="s">
        <v>290</v>
      </c>
      <c r="B40" s="16" t="s">
        <v>71</v>
      </c>
      <c r="C40" s="16" t="s">
        <v>72</v>
      </c>
      <c r="D40" s="16" t="s">
        <v>291</v>
      </c>
      <c r="E40" s="16" t="s">
        <v>292</v>
      </c>
      <c r="F40" s="16" t="s">
        <v>197</v>
      </c>
      <c r="G40" s="16" t="s">
        <v>293</v>
      </c>
      <c r="H40" s="17"/>
      <c r="I40" s="16" t="s">
        <v>294</v>
      </c>
      <c r="J40" s="17"/>
      <c r="K40" s="16" t="s">
        <v>295</v>
      </c>
      <c r="L40" s="18" t="s">
        <v>296</v>
      </c>
      <c r="M40" s="18" t="s">
        <v>296</v>
      </c>
      <c r="N40" s="16" t="s">
        <v>100</v>
      </c>
      <c r="O40" s="16" t="s">
        <v>81</v>
      </c>
      <c r="P40" s="16" t="s">
        <v>82</v>
      </c>
      <c r="Q40" s="19">
        <v>46146.506706643515</v>
      </c>
      <c r="R40" s="17"/>
      <c r="S40" s="17"/>
      <c r="T40" s="16" t="s">
        <v>297</v>
      </c>
      <c r="U40" s="19">
        <v>46147.014189814814</v>
      </c>
      <c r="V40" s="16" t="s">
        <v>298</v>
      </c>
      <c r="W40" s="17"/>
      <c r="X40" s="16" t="s">
        <v>299</v>
      </c>
      <c r="Y40" s="17"/>
      <c r="Z40" s="17"/>
      <c r="AA40" s="17"/>
      <c r="AB40" s="17"/>
      <c r="AC40" s="16" t="s">
        <v>300</v>
      </c>
      <c r="AD40" s="19">
        <v>46147.61926716435</v>
      </c>
      <c r="AE40" s="16" t="s">
        <v>301</v>
      </c>
      <c r="AF40" s="21">
        <v>46146.55193041667</v>
      </c>
      <c r="AG40" s="17"/>
      <c r="AH40" s="16" t="s">
        <v>302</v>
      </c>
      <c r="AI40" s="16" t="s">
        <v>294</v>
      </c>
      <c r="AJ40" s="16" t="s">
        <v>297</v>
      </c>
      <c r="AK40" s="16"/>
      <c r="AL40" s="16"/>
      <c r="AM40" s="16" t="s">
        <v>24</v>
      </c>
      <c r="AN40" s="16" t="s">
        <v>303</v>
      </c>
      <c r="AO40" s="16" t="s">
        <v>304</v>
      </c>
    </row>
    <row r="41" ht="15.75" customHeight="1">
      <c r="A41" s="16" t="s">
        <v>305</v>
      </c>
      <c r="B41" s="16" t="s">
        <v>71</v>
      </c>
      <c r="C41" s="16" t="s">
        <v>72</v>
      </c>
      <c r="D41" s="16" t="s">
        <v>306</v>
      </c>
      <c r="E41" s="16" t="s">
        <v>307</v>
      </c>
      <c r="F41" s="16" t="s">
        <v>279</v>
      </c>
      <c r="G41" s="16" t="s">
        <v>87</v>
      </c>
      <c r="H41" s="17"/>
      <c r="I41" s="16" t="s">
        <v>308</v>
      </c>
      <c r="J41" s="17"/>
      <c r="K41" s="16" t="s">
        <v>309</v>
      </c>
      <c r="L41" s="18" t="s">
        <v>310</v>
      </c>
      <c r="M41" s="18" t="s">
        <v>310</v>
      </c>
      <c r="N41" s="16" t="s">
        <v>166</v>
      </c>
      <c r="O41" s="16" t="s">
        <v>81</v>
      </c>
      <c r="P41" s="16" t="s">
        <v>82</v>
      </c>
      <c r="Q41" s="19">
        <v>46146.50633366898</v>
      </c>
      <c r="R41" s="17"/>
      <c r="S41" s="17"/>
      <c r="T41" s="17"/>
      <c r="U41" s="20"/>
      <c r="V41" s="17"/>
      <c r="W41" s="17"/>
      <c r="X41" s="17"/>
      <c r="Y41" s="17"/>
      <c r="Z41" s="17"/>
      <c r="AA41" s="17"/>
      <c r="AB41" s="17"/>
      <c r="AC41" s="16" t="s">
        <v>83</v>
      </c>
      <c r="AD41" s="19">
        <v>46153.0</v>
      </c>
      <c r="AE41" s="17"/>
      <c r="AF41" s="21">
        <v>46146.55193041667</v>
      </c>
      <c r="AG41" s="17"/>
      <c r="AH41" s="17"/>
      <c r="AI41" s="17"/>
      <c r="AJ41" s="17"/>
      <c r="AK41" s="17"/>
      <c r="AL41" s="17"/>
      <c r="AM41" s="17"/>
      <c r="AN41" s="17"/>
      <c r="AO41" s="17"/>
    </row>
    <row r="42" ht="15.75" customHeight="1">
      <c r="A42" s="16" t="s">
        <v>311</v>
      </c>
      <c r="B42" s="16" t="s">
        <v>71</v>
      </c>
      <c r="C42" s="16" t="s">
        <v>72</v>
      </c>
      <c r="D42" s="16" t="s">
        <v>312</v>
      </c>
      <c r="E42" s="16" t="s">
        <v>313</v>
      </c>
      <c r="F42" s="16" t="s">
        <v>279</v>
      </c>
      <c r="G42" s="16" t="s">
        <v>314</v>
      </c>
      <c r="H42" s="17"/>
      <c r="I42" s="16" t="s">
        <v>315</v>
      </c>
      <c r="J42" s="17"/>
      <c r="K42" s="17"/>
      <c r="L42" s="18" t="s">
        <v>316</v>
      </c>
      <c r="M42" s="18" t="s">
        <v>316</v>
      </c>
      <c r="N42" s="16" t="s">
        <v>80</v>
      </c>
      <c r="O42" s="16" t="s">
        <v>81</v>
      </c>
      <c r="P42" s="16" t="s">
        <v>82</v>
      </c>
      <c r="Q42" s="19">
        <v>46146.50634233796</v>
      </c>
      <c r="R42" s="17"/>
      <c r="S42" s="17"/>
      <c r="T42" s="17"/>
      <c r="U42" s="20"/>
      <c r="V42" s="17"/>
      <c r="W42" s="17"/>
      <c r="X42" s="17"/>
      <c r="Y42" s="17"/>
      <c r="Z42" s="17"/>
      <c r="AA42" s="17"/>
      <c r="AB42" s="17"/>
      <c r="AC42" s="16" t="s">
        <v>83</v>
      </c>
      <c r="AD42" s="19">
        <v>46153.0</v>
      </c>
      <c r="AE42" s="17"/>
      <c r="AF42" s="21">
        <v>46146.55193041667</v>
      </c>
      <c r="AG42" s="17"/>
      <c r="AH42" s="17"/>
      <c r="AI42" s="17"/>
      <c r="AJ42" s="17"/>
      <c r="AK42" s="17"/>
      <c r="AL42" s="17"/>
      <c r="AM42" s="17"/>
      <c r="AN42" s="17"/>
      <c r="AO42" s="17"/>
    </row>
    <row r="43" ht="15.75" customHeight="1">
      <c r="A43" s="16" t="s">
        <v>317</v>
      </c>
      <c r="B43" s="16" t="s">
        <v>71</v>
      </c>
      <c r="C43" s="16" t="s">
        <v>72</v>
      </c>
      <c r="D43" s="16" t="s">
        <v>318</v>
      </c>
      <c r="E43" s="16" t="s">
        <v>319</v>
      </c>
      <c r="F43" s="16" t="s">
        <v>24</v>
      </c>
      <c r="G43" s="16" t="s">
        <v>320</v>
      </c>
      <c r="H43" s="17"/>
      <c r="I43" s="16" t="s">
        <v>321</v>
      </c>
      <c r="J43" s="17"/>
      <c r="K43" s="16" t="s">
        <v>322</v>
      </c>
      <c r="L43" s="18" t="s">
        <v>323</v>
      </c>
      <c r="M43" s="18" t="s">
        <v>323</v>
      </c>
      <c r="N43" s="16" t="s">
        <v>80</v>
      </c>
      <c r="O43" s="16" t="s">
        <v>81</v>
      </c>
      <c r="P43" s="16" t="s">
        <v>82</v>
      </c>
      <c r="Q43" s="19">
        <v>46146.505257743054</v>
      </c>
      <c r="R43" s="17"/>
      <c r="S43" s="17"/>
      <c r="T43" s="17"/>
      <c r="U43" s="20"/>
      <c r="V43" s="17"/>
      <c r="W43" s="17"/>
      <c r="X43" s="17"/>
      <c r="Y43" s="17"/>
      <c r="Z43" s="17"/>
      <c r="AA43" s="17"/>
      <c r="AB43" s="17"/>
      <c r="AC43" s="16" t="s">
        <v>83</v>
      </c>
      <c r="AD43" s="19">
        <v>46153.0</v>
      </c>
      <c r="AE43" s="17"/>
      <c r="AF43" s="21">
        <v>46146.55193041667</v>
      </c>
      <c r="AG43" s="17"/>
      <c r="AH43" s="17"/>
      <c r="AI43" s="17"/>
      <c r="AJ43" s="17"/>
      <c r="AK43" s="17"/>
      <c r="AL43" s="17"/>
      <c r="AM43" s="17"/>
      <c r="AN43" s="17"/>
      <c r="AO43" s="17"/>
    </row>
    <row r="44" ht="15.75" customHeight="1">
      <c r="A44" s="16" t="s">
        <v>324</v>
      </c>
      <c r="B44" s="16" t="s">
        <v>71</v>
      </c>
      <c r="C44" s="16" t="s">
        <v>72</v>
      </c>
      <c r="D44" s="16" t="s">
        <v>325</v>
      </c>
      <c r="E44" s="16" t="s">
        <v>326</v>
      </c>
      <c r="F44" s="16" t="s">
        <v>75</v>
      </c>
      <c r="G44" s="16" t="s">
        <v>87</v>
      </c>
      <c r="H44" s="17"/>
      <c r="I44" s="16" t="s">
        <v>327</v>
      </c>
      <c r="J44" s="17"/>
      <c r="K44" s="16" t="s">
        <v>328</v>
      </c>
      <c r="L44" s="18" t="s">
        <v>329</v>
      </c>
      <c r="M44" s="18" t="s">
        <v>329</v>
      </c>
      <c r="N44" s="16" t="s">
        <v>166</v>
      </c>
      <c r="O44" s="16" t="s">
        <v>81</v>
      </c>
      <c r="P44" s="16" t="s">
        <v>82</v>
      </c>
      <c r="Q44" s="19">
        <v>46146.50614265046</v>
      </c>
      <c r="R44" s="17"/>
      <c r="S44" s="17"/>
      <c r="T44" s="17"/>
      <c r="U44" s="20"/>
      <c r="V44" s="17"/>
      <c r="W44" s="17"/>
      <c r="X44" s="17"/>
      <c r="Y44" s="17"/>
      <c r="Z44" s="17"/>
      <c r="AA44" s="17"/>
      <c r="AB44" s="17"/>
      <c r="AC44" s="16" t="s">
        <v>83</v>
      </c>
      <c r="AD44" s="19">
        <v>46153.0</v>
      </c>
      <c r="AE44" s="17"/>
      <c r="AF44" s="21">
        <v>46146.55193041667</v>
      </c>
      <c r="AG44" s="17"/>
      <c r="AH44" s="17"/>
      <c r="AI44" s="17"/>
      <c r="AJ44" s="17"/>
      <c r="AK44" s="17"/>
      <c r="AL44" s="17"/>
      <c r="AM44" s="17"/>
      <c r="AN44" s="17"/>
      <c r="AO44" s="17"/>
    </row>
    <row r="45" ht="15.75" customHeight="1">
      <c r="A45" s="16" t="s">
        <v>330</v>
      </c>
      <c r="B45" s="16" t="s">
        <v>71</v>
      </c>
      <c r="C45" s="16" t="s">
        <v>72</v>
      </c>
      <c r="D45" s="16" t="s">
        <v>331</v>
      </c>
      <c r="E45" s="16" t="s">
        <v>332</v>
      </c>
      <c r="F45" s="16" t="s">
        <v>75</v>
      </c>
      <c r="G45" s="16" t="s">
        <v>87</v>
      </c>
      <c r="H45" s="17"/>
      <c r="I45" s="16" t="s">
        <v>333</v>
      </c>
      <c r="J45" s="17"/>
      <c r="K45" s="16" t="s">
        <v>334</v>
      </c>
      <c r="L45" s="18" t="s">
        <v>335</v>
      </c>
      <c r="M45" s="18" t="s">
        <v>335</v>
      </c>
      <c r="N45" s="16" t="s">
        <v>80</v>
      </c>
      <c r="O45" s="16" t="s">
        <v>81</v>
      </c>
      <c r="P45" s="16" t="s">
        <v>82</v>
      </c>
      <c r="Q45" s="19">
        <v>46146.50628868055</v>
      </c>
      <c r="R45" s="17"/>
      <c r="S45" s="17"/>
      <c r="T45" s="17"/>
      <c r="U45" s="20"/>
      <c r="V45" s="17"/>
      <c r="W45" s="17"/>
      <c r="X45" s="17"/>
      <c r="Y45" s="17"/>
      <c r="Z45" s="17"/>
      <c r="AA45" s="17"/>
      <c r="AB45" s="17"/>
      <c r="AC45" s="16" t="s">
        <v>83</v>
      </c>
      <c r="AD45" s="19">
        <v>46153.0</v>
      </c>
      <c r="AE45" s="17"/>
      <c r="AF45" s="21">
        <v>46146.55193041667</v>
      </c>
      <c r="AG45" s="17"/>
      <c r="AH45" s="17"/>
      <c r="AI45" s="17"/>
      <c r="AJ45" s="17"/>
      <c r="AK45" s="17"/>
      <c r="AL45" s="17"/>
      <c r="AM45" s="17"/>
      <c r="AN45" s="17"/>
      <c r="AO45" s="17"/>
    </row>
    <row r="46" ht="15.75" customHeight="1">
      <c r="A46" s="16" t="s">
        <v>336</v>
      </c>
      <c r="B46" s="16" t="s">
        <v>71</v>
      </c>
      <c r="C46" s="16" t="s">
        <v>72</v>
      </c>
      <c r="D46" s="16" t="s">
        <v>337</v>
      </c>
      <c r="E46" s="16" t="s">
        <v>338</v>
      </c>
      <c r="F46" s="16" t="s">
        <v>75</v>
      </c>
      <c r="G46" s="16" t="s">
        <v>87</v>
      </c>
      <c r="H46" s="17"/>
      <c r="I46" s="16" t="s">
        <v>339</v>
      </c>
      <c r="J46" s="17"/>
      <c r="K46" s="16" t="s">
        <v>340</v>
      </c>
      <c r="L46" s="18" t="s">
        <v>341</v>
      </c>
      <c r="M46" s="18" t="s">
        <v>341</v>
      </c>
      <c r="N46" s="16" t="s">
        <v>80</v>
      </c>
      <c r="O46" s="16" t="s">
        <v>81</v>
      </c>
      <c r="P46" s="16" t="s">
        <v>82</v>
      </c>
      <c r="Q46" s="19">
        <v>46146.506089120376</v>
      </c>
      <c r="R46" s="17"/>
      <c r="S46" s="17"/>
      <c r="T46" s="17"/>
      <c r="U46" s="20"/>
      <c r="V46" s="17"/>
      <c r="W46" s="17"/>
      <c r="X46" s="17"/>
      <c r="Y46" s="17"/>
      <c r="Z46" s="17"/>
      <c r="AA46" s="17"/>
      <c r="AB46" s="17"/>
      <c r="AC46" s="16" t="s">
        <v>83</v>
      </c>
      <c r="AD46" s="19">
        <v>46153.0</v>
      </c>
      <c r="AE46" s="17"/>
      <c r="AF46" s="21">
        <v>46146.55193041667</v>
      </c>
      <c r="AG46" s="17"/>
      <c r="AH46" s="17"/>
      <c r="AI46" s="17"/>
      <c r="AJ46" s="17"/>
      <c r="AK46" s="17"/>
      <c r="AL46" s="17"/>
      <c r="AM46" s="17"/>
      <c r="AN46" s="17"/>
      <c r="AO46" s="17"/>
    </row>
    <row r="47" ht="15.75" customHeight="1">
      <c r="A47" s="16" t="s">
        <v>342</v>
      </c>
      <c r="B47" s="16" t="s">
        <v>71</v>
      </c>
      <c r="C47" s="16" t="s">
        <v>72</v>
      </c>
      <c r="D47" s="16" t="s">
        <v>343</v>
      </c>
      <c r="E47" s="16" t="s">
        <v>344</v>
      </c>
      <c r="F47" s="16" t="s">
        <v>106</v>
      </c>
      <c r="G47" s="16" t="s">
        <v>345</v>
      </c>
      <c r="H47" s="17"/>
      <c r="I47" s="16" t="s">
        <v>346</v>
      </c>
      <c r="J47" s="17"/>
      <c r="K47" s="17"/>
      <c r="L47" s="18" t="s">
        <v>347</v>
      </c>
      <c r="M47" s="18" t="s">
        <v>347</v>
      </c>
      <c r="N47" s="16" t="s">
        <v>166</v>
      </c>
      <c r="O47" s="16" t="s">
        <v>81</v>
      </c>
      <c r="P47" s="16" t="s">
        <v>82</v>
      </c>
      <c r="Q47" s="19">
        <v>46146.50638020833</v>
      </c>
      <c r="R47" s="17"/>
      <c r="S47" s="17"/>
      <c r="T47" s="17"/>
      <c r="U47" s="20"/>
      <c r="V47" s="17"/>
      <c r="W47" s="17"/>
      <c r="X47" s="17"/>
      <c r="Y47" s="17"/>
      <c r="Z47" s="17"/>
      <c r="AA47" s="17"/>
      <c r="AB47" s="17"/>
      <c r="AC47" s="16" t="s">
        <v>83</v>
      </c>
      <c r="AD47" s="19">
        <v>46153.0</v>
      </c>
      <c r="AE47" s="17"/>
      <c r="AF47" s="21">
        <v>46146.55193041667</v>
      </c>
      <c r="AG47" s="17"/>
      <c r="AH47" s="17"/>
      <c r="AI47" s="17"/>
      <c r="AJ47" s="17"/>
      <c r="AK47" s="17"/>
      <c r="AL47" s="17"/>
      <c r="AM47" s="17"/>
      <c r="AN47" s="17"/>
      <c r="AO47" s="17"/>
    </row>
    <row r="48" ht="15.75" customHeight="1">
      <c r="A48" s="16" t="s">
        <v>348</v>
      </c>
      <c r="B48" s="16" t="s">
        <v>71</v>
      </c>
      <c r="C48" s="16" t="s">
        <v>72</v>
      </c>
      <c r="D48" s="16" t="s">
        <v>349</v>
      </c>
      <c r="E48" s="16" t="s">
        <v>350</v>
      </c>
      <c r="F48" s="16" t="s">
        <v>106</v>
      </c>
      <c r="G48" s="16" t="s">
        <v>351</v>
      </c>
      <c r="H48" s="17"/>
      <c r="I48" s="16" t="s">
        <v>352</v>
      </c>
      <c r="J48" s="17"/>
      <c r="K48" s="16" t="s">
        <v>353</v>
      </c>
      <c r="L48" s="18" t="s">
        <v>354</v>
      </c>
      <c r="M48" s="18" t="s">
        <v>354</v>
      </c>
      <c r="N48" s="16" t="s">
        <v>80</v>
      </c>
      <c r="O48" s="16" t="s">
        <v>81</v>
      </c>
      <c r="P48" s="16" t="s">
        <v>82</v>
      </c>
      <c r="Q48" s="19">
        <v>46146.50677574074</v>
      </c>
      <c r="R48" s="17"/>
      <c r="S48" s="17"/>
      <c r="T48" s="17"/>
      <c r="U48" s="20"/>
      <c r="V48" s="17"/>
      <c r="W48" s="17"/>
      <c r="X48" s="17"/>
      <c r="Y48" s="17"/>
      <c r="Z48" s="17"/>
      <c r="AA48" s="17"/>
      <c r="AB48" s="17"/>
      <c r="AC48" s="16" t="s">
        <v>83</v>
      </c>
      <c r="AD48" s="19">
        <v>46153.0</v>
      </c>
      <c r="AE48" s="17"/>
      <c r="AF48" s="21">
        <v>46146.55193041667</v>
      </c>
      <c r="AG48" s="17"/>
      <c r="AH48" s="17"/>
      <c r="AI48" s="17"/>
      <c r="AJ48" s="17"/>
      <c r="AK48" s="17"/>
      <c r="AL48" s="17"/>
      <c r="AM48" s="17"/>
      <c r="AN48" s="17"/>
      <c r="AO48" s="17"/>
    </row>
    <row r="49" ht="15.75" customHeight="1">
      <c r="A49" s="16" t="s">
        <v>355</v>
      </c>
      <c r="B49" s="16" t="s">
        <v>71</v>
      </c>
      <c r="C49" s="16" t="s">
        <v>72</v>
      </c>
      <c r="D49" s="16" t="s">
        <v>356</v>
      </c>
      <c r="E49" s="16" t="s">
        <v>357</v>
      </c>
      <c r="F49" s="16" t="s">
        <v>279</v>
      </c>
      <c r="G49" s="16" t="s">
        <v>87</v>
      </c>
      <c r="H49" s="17"/>
      <c r="I49" s="17"/>
      <c r="J49" s="17"/>
      <c r="K49" s="17"/>
      <c r="L49" s="18" t="s">
        <v>358</v>
      </c>
      <c r="M49" s="18" t="s">
        <v>358</v>
      </c>
      <c r="N49" s="16" t="s">
        <v>100</v>
      </c>
      <c r="O49" s="16" t="s">
        <v>101</v>
      </c>
      <c r="P49" s="16" t="s">
        <v>102</v>
      </c>
      <c r="Q49" s="20"/>
      <c r="R49" s="17"/>
      <c r="S49" s="17"/>
      <c r="T49" s="17"/>
      <c r="U49" s="20"/>
      <c r="V49" s="17"/>
      <c r="W49" s="17"/>
      <c r="X49" s="17"/>
      <c r="Y49" s="17"/>
      <c r="Z49" s="17"/>
      <c r="AA49" s="17"/>
      <c r="AB49" s="17"/>
      <c r="AC49" s="17"/>
      <c r="AD49" s="20"/>
      <c r="AE49" s="17"/>
      <c r="AF49" s="21">
        <v>46146.55193041667</v>
      </c>
      <c r="AG49" s="17"/>
      <c r="AH49" s="17"/>
      <c r="AI49" s="17"/>
      <c r="AJ49" s="17"/>
      <c r="AK49" s="17"/>
      <c r="AL49" s="17"/>
      <c r="AM49" s="17"/>
      <c r="AN49" s="17"/>
      <c r="AO49" s="17"/>
    </row>
    <row r="50" ht="15.75" customHeight="1">
      <c r="A50" s="16" t="s">
        <v>359</v>
      </c>
      <c r="B50" s="16" t="s">
        <v>71</v>
      </c>
      <c r="C50" s="16" t="s">
        <v>72</v>
      </c>
      <c r="D50" s="16" t="s">
        <v>360</v>
      </c>
      <c r="E50" s="16" t="s">
        <v>361</v>
      </c>
      <c r="F50" s="16" t="s">
        <v>24</v>
      </c>
      <c r="G50" s="16" t="s">
        <v>87</v>
      </c>
      <c r="H50" s="17"/>
      <c r="I50" s="16" t="s">
        <v>362</v>
      </c>
      <c r="J50" s="17"/>
      <c r="K50" s="16" t="s">
        <v>363</v>
      </c>
      <c r="L50" s="18" t="s">
        <v>364</v>
      </c>
      <c r="M50" s="18" t="s">
        <v>364</v>
      </c>
      <c r="N50" s="16" t="s">
        <v>166</v>
      </c>
      <c r="O50" s="16" t="s">
        <v>81</v>
      </c>
      <c r="P50" s="16" t="s">
        <v>82</v>
      </c>
      <c r="Q50" s="19">
        <v>46146.50519792824</v>
      </c>
      <c r="R50" s="17"/>
      <c r="S50" s="17"/>
      <c r="T50" s="17"/>
      <c r="U50" s="20"/>
      <c r="V50" s="17"/>
      <c r="W50" s="17"/>
      <c r="X50" s="17"/>
      <c r="Y50" s="17"/>
      <c r="Z50" s="17"/>
      <c r="AA50" s="17"/>
      <c r="AB50" s="17"/>
      <c r="AC50" s="16" t="s">
        <v>83</v>
      </c>
      <c r="AD50" s="19">
        <v>46153.0</v>
      </c>
      <c r="AE50" s="17"/>
      <c r="AF50" s="21">
        <v>46146.55193041667</v>
      </c>
      <c r="AG50" s="17"/>
      <c r="AH50" s="17"/>
      <c r="AI50" s="17"/>
      <c r="AJ50" s="17"/>
      <c r="AK50" s="17"/>
      <c r="AL50" s="17"/>
      <c r="AM50" s="17"/>
      <c r="AN50" s="17"/>
      <c r="AO50" s="17"/>
    </row>
    <row r="51" ht="15.75" customHeight="1">
      <c r="A51" s="16" t="s">
        <v>365</v>
      </c>
      <c r="B51" s="16" t="s">
        <v>71</v>
      </c>
      <c r="C51" s="16" t="s">
        <v>72</v>
      </c>
      <c r="D51" s="16" t="s">
        <v>366</v>
      </c>
      <c r="E51" s="16" t="s">
        <v>367</v>
      </c>
      <c r="F51" s="16" t="s">
        <v>75</v>
      </c>
      <c r="G51" s="16" t="s">
        <v>87</v>
      </c>
      <c r="H51" s="17"/>
      <c r="I51" s="16" t="s">
        <v>368</v>
      </c>
      <c r="J51" s="17"/>
      <c r="K51" s="16" t="s">
        <v>369</v>
      </c>
      <c r="L51" s="18" t="s">
        <v>370</v>
      </c>
      <c r="M51" s="18" t="s">
        <v>370</v>
      </c>
      <c r="N51" s="16" t="s">
        <v>100</v>
      </c>
      <c r="O51" s="16" t="s">
        <v>81</v>
      </c>
      <c r="P51" s="16" t="s">
        <v>82</v>
      </c>
      <c r="Q51" s="19">
        <v>46146.50628158565</v>
      </c>
      <c r="R51" s="17"/>
      <c r="S51" s="17"/>
      <c r="T51" s="17"/>
      <c r="U51" s="20"/>
      <c r="V51" s="17"/>
      <c r="W51" s="17"/>
      <c r="X51" s="17"/>
      <c r="Y51" s="17"/>
      <c r="Z51" s="17"/>
      <c r="AA51" s="17"/>
      <c r="AB51" s="17"/>
      <c r="AC51" s="16" t="s">
        <v>83</v>
      </c>
      <c r="AD51" s="19">
        <v>46153.0</v>
      </c>
      <c r="AE51" s="17"/>
      <c r="AF51" s="21">
        <v>46146.55193041667</v>
      </c>
      <c r="AG51" s="17"/>
      <c r="AH51" s="17"/>
      <c r="AI51" s="17"/>
      <c r="AJ51" s="17"/>
      <c r="AK51" s="17"/>
      <c r="AL51" s="17"/>
      <c r="AM51" s="17"/>
      <c r="AN51" s="17"/>
      <c r="AO51" s="17"/>
    </row>
    <row r="52" ht="15.75" customHeight="1">
      <c r="A52" s="16" t="s">
        <v>371</v>
      </c>
      <c r="B52" s="16" t="s">
        <v>71</v>
      </c>
      <c r="C52" s="16" t="s">
        <v>72</v>
      </c>
      <c r="D52" s="16" t="s">
        <v>372</v>
      </c>
      <c r="E52" s="16" t="s">
        <v>373</v>
      </c>
      <c r="F52" s="16" t="s">
        <v>75</v>
      </c>
      <c r="G52" s="16" t="s">
        <v>87</v>
      </c>
      <c r="H52" s="17"/>
      <c r="I52" s="16" t="s">
        <v>374</v>
      </c>
      <c r="J52" s="17"/>
      <c r="K52" s="16" t="s">
        <v>375</v>
      </c>
      <c r="L52" s="18" t="s">
        <v>376</v>
      </c>
      <c r="M52" s="18" t="s">
        <v>376</v>
      </c>
      <c r="N52" s="16" t="s">
        <v>100</v>
      </c>
      <c r="O52" s="16" t="s">
        <v>81</v>
      </c>
      <c r="P52" s="16" t="s">
        <v>82</v>
      </c>
      <c r="Q52" s="19">
        <v>46146.506274178246</v>
      </c>
      <c r="R52" s="17"/>
      <c r="S52" s="17"/>
      <c r="T52" s="17"/>
      <c r="U52" s="20"/>
      <c r="V52" s="17"/>
      <c r="W52" s="17"/>
      <c r="X52" s="17"/>
      <c r="Y52" s="17"/>
      <c r="Z52" s="17"/>
      <c r="AA52" s="17"/>
      <c r="AB52" s="17"/>
      <c r="AC52" s="16" t="s">
        <v>83</v>
      </c>
      <c r="AD52" s="19">
        <v>46153.0</v>
      </c>
      <c r="AE52" s="17"/>
      <c r="AF52" s="21">
        <v>46146.55193041667</v>
      </c>
      <c r="AG52" s="17"/>
      <c r="AH52" s="17"/>
      <c r="AI52" s="17"/>
      <c r="AJ52" s="17"/>
      <c r="AK52" s="17"/>
      <c r="AL52" s="17"/>
      <c r="AM52" s="17"/>
      <c r="AN52" s="17"/>
      <c r="AO52" s="17"/>
    </row>
    <row r="53" ht="15.75" customHeight="1">
      <c r="A53" s="16" t="s">
        <v>377</v>
      </c>
      <c r="B53" s="16" t="s">
        <v>71</v>
      </c>
      <c r="C53" s="16" t="s">
        <v>72</v>
      </c>
      <c r="D53" s="16" t="s">
        <v>378</v>
      </c>
      <c r="E53" s="16" t="s">
        <v>379</v>
      </c>
      <c r="F53" s="16" t="s">
        <v>24</v>
      </c>
      <c r="G53" s="16" t="s">
        <v>87</v>
      </c>
      <c r="H53" s="17"/>
      <c r="I53" s="16" t="s">
        <v>380</v>
      </c>
      <c r="J53" s="17"/>
      <c r="K53" s="16" t="s">
        <v>381</v>
      </c>
      <c r="L53" s="18" t="s">
        <v>382</v>
      </c>
      <c r="M53" s="18" t="s">
        <v>382</v>
      </c>
      <c r="N53" s="16" t="s">
        <v>100</v>
      </c>
      <c r="O53" s="16" t="s">
        <v>81</v>
      </c>
      <c r="P53" s="16" t="s">
        <v>82</v>
      </c>
      <c r="Q53" s="19">
        <v>46146.50606733796</v>
      </c>
      <c r="R53" s="17"/>
      <c r="S53" s="17"/>
      <c r="T53" s="16" t="s">
        <v>297</v>
      </c>
      <c r="U53" s="19">
        <v>46147.01726851852</v>
      </c>
      <c r="V53" s="16" t="s">
        <v>383</v>
      </c>
      <c r="W53" s="17"/>
      <c r="X53" s="16" t="s">
        <v>299</v>
      </c>
      <c r="Y53" s="17"/>
      <c r="Z53" s="17"/>
      <c r="AA53" s="17"/>
      <c r="AB53" s="17"/>
      <c r="AC53" s="16" t="s">
        <v>300</v>
      </c>
      <c r="AD53" s="19">
        <v>46147.619256192134</v>
      </c>
      <c r="AE53" s="16" t="s">
        <v>384</v>
      </c>
      <c r="AF53" s="21">
        <v>46146.55193041667</v>
      </c>
      <c r="AG53" s="17"/>
      <c r="AH53" s="16" t="s">
        <v>385</v>
      </c>
      <c r="AI53" s="16" t="s">
        <v>380</v>
      </c>
      <c r="AJ53" s="16" t="s">
        <v>297</v>
      </c>
      <c r="AK53" s="16"/>
      <c r="AL53" s="16"/>
      <c r="AM53" s="16" t="s">
        <v>24</v>
      </c>
      <c r="AN53" s="16" t="s">
        <v>303</v>
      </c>
      <c r="AO53" s="16" t="s">
        <v>304</v>
      </c>
    </row>
    <row r="54" ht="15.75" customHeight="1">
      <c r="A54" s="16" t="s">
        <v>386</v>
      </c>
      <c r="B54" s="16" t="s">
        <v>71</v>
      </c>
      <c r="C54" s="16" t="s">
        <v>72</v>
      </c>
      <c r="D54" s="16" t="s">
        <v>387</v>
      </c>
      <c r="E54" s="16" t="s">
        <v>388</v>
      </c>
      <c r="F54" s="16" t="s">
        <v>75</v>
      </c>
      <c r="G54" s="16" t="s">
        <v>87</v>
      </c>
      <c r="H54" s="17"/>
      <c r="I54" s="16" t="s">
        <v>389</v>
      </c>
      <c r="J54" s="16" t="s">
        <v>390</v>
      </c>
      <c r="K54" s="17"/>
      <c r="L54" s="18" t="s">
        <v>391</v>
      </c>
      <c r="M54" s="18" t="s">
        <v>391</v>
      </c>
      <c r="N54" s="16" t="s">
        <v>100</v>
      </c>
      <c r="O54" s="16" t="s">
        <v>81</v>
      </c>
      <c r="P54" s="16" t="s">
        <v>82</v>
      </c>
      <c r="Q54" s="19">
        <v>46146.506326319446</v>
      </c>
      <c r="R54" s="17"/>
      <c r="S54" s="17"/>
      <c r="T54" s="17"/>
      <c r="U54" s="20"/>
      <c r="V54" s="17"/>
      <c r="W54" s="17"/>
      <c r="X54" s="17"/>
      <c r="Y54" s="17"/>
      <c r="Z54" s="17"/>
      <c r="AA54" s="17"/>
      <c r="AB54" s="17"/>
      <c r="AC54" s="16" t="s">
        <v>83</v>
      </c>
      <c r="AD54" s="19">
        <v>46153.0</v>
      </c>
      <c r="AE54" s="17"/>
      <c r="AF54" s="21">
        <v>46146.55193041667</v>
      </c>
      <c r="AG54" s="17"/>
      <c r="AH54" s="17"/>
      <c r="AI54" s="17"/>
      <c r="AJ54" s="17"/>
      <c r="AK54" s="17"/>
      <c r="AL54" s="17"/>
      <c r="AM54" s="17"/>
      <c r="AN54" s="17"/>
      <c r="AO54" s="17"/>
    </row>
    <row r="55" ht="15.75" customHeight="1">
      <c r="A55" s="16" t="s">
        <v>392</v>
      </c>
      <c r="B55" s="16" t="s">
        <v>71</v>
      </c>
      <c r="C55" s="16" t="s">
        <v>72</v>
      </c>
      <c r="D55" s="16" t="s">
        <v>393</v>
      </c>
      <c r="E55" s="16" t="s">
        <v>394</v>
      </c>
      <c r="F55" s="16" t="s">
        <v>24</v>
      </c>
      <c r="G55" s="16" t="s">
        <v>87</v>
      </c>
      <c r="H55" s="17"/>
      <c r="I55" s="16" t="s">
        <v>395</v>
      </c>
      <c r="J55" s="17"/>
      <c r="K55" s="16" t="s">
        <v>396</v>
      </c>
      <c r="L55" s="18" t="s">
        <v>397</v>
      </c>
      <c r="M55" s="18" t="s">
        <v>397</v>
      </c>
      <c r="N55" s="16" t="s">
        <v>166</v>
      </c>
      <c r="O55" s="16" t="s">
        <v>81</v>
      </c>
      <c r="P55" s="16" t="s">
        <v>82</v>
      </c>
      <c r="Q55" s="19">
        <v>46146.50520509259</v>
      </c>
      <c r="R55" s="17"/>
      <c r="S55" s="17"/>
      <c r="T55" s="17"/>
      <c r="U55" s="20"/>
      <c r="V55" s="17"/>
      <c r="W55" s="17"/>
      <c r="X55" s="17"/>
      <c r="Y55" s="17"/>
      <c r="Z55" s="17"/>
      <c r="AA55" s="17"/>
      <c r="AB55" s="17"/>
      <c r="AC55" s="16" t="s">
        <v>83</v>
      </c>
      <c r="AD55" s="19">
        <v>46153.0</v>
      </c>
      <c r="AE55" s="17"/>
      <c r="AF55" s="21">
        <v>46146.55193041667</v>
      </c>
      <c r="AG55" s="17"/>
      <c r="AH55" s="17"/>
      <c r="AI55" s="17"/>
      <c r="AJ55" s="17"/>
      <c r="AK55" s="17"/>
      <c r="AL55" s="17"/>
      <c r="AM55" s="17"/>
      <c r="AN55" s="17"/>
      <c r="AO55" s="17"/>
    </row>
    <row r="56" ht="15.75" customHeight="1">
      <c r="A56" s="16" t="s">
        <v>398</v>
      </c>
      <c r="B56" s="16" t="s">
        <v>71</v>
      </c>
      <c r="C56" s="16" t="s">
        <v>72</v>
      </c>
      <c r="D56" s="16" t="s">
        <v>399</v>
      </c>
      <c r="E56" s="16" t="s">
        <v>400</v>
      </c>
      <c r="F56" s="16" t="s">
        <v>24</v>
      </c>
      <c r="G56" s="16" t="s">
        <v>401</v>
      </c>
      <c r="H56" s="17"/>
      <c r="I56" s="16" t="s">
        <v>402</v>
      </c>
      <c r="J56" s="17"/>
      <c r="K56" s="16" t="s">
        <v>403</v>
      </c>
      <c r="L56" s="18" t="s">
        <v>404</v>
      </c>
      <c r="M56" s="18" t="s">
        <v>404</v>
      </c>
      <c r="N56" s="16" t="s">
        <v>80</v>
      </c>
      <c r="O56" s="16" t="s">
        <v>81</v>
      </c>
      <c r="P56" s="16" t="s">
        <v>82</v>
      </c>
      <c r="Q56" s="19">
        <v>46146.50524932871</v>
      </c>
      <c r="R56" s="17"/>
      <c r="S56" s="17"/>
      <c r="T56" s="17"/>
      <c r="U56" s="20"/>
      <c r="V56" s="17"/>
      <c r="W56" s="17"/>
      <c r="X56" s="17"/>
      <c r="Y56" s="17"/>
      <c r="Z56" s="17"/>
      <c r="AA56" s="17"/>
      <c r="AB56" s="17"/>
      <c r="AC56" s="16" t="s">
        <v>83</v>
      </c>
      <c r="AD56" s="19">
        <v>46153.0</v>
      </c>
      <c r="AE56" s="17"/>
      <c r="AF56" s="21">
        <v>46146.55193041667</v>
      </c>
      <c r="AG56" s="17"/>
      <c r="AH56" s="17"/>
      <c r="AI56" s="17"/>
      <c r="AJ56" s="17"/>
      <c r="AK56" s="17"/>
      <c r="AL56" s="17"/>
      <c r="AM56" s="17"/>
      <c r="AN56" s="17"/>
      <c r="AO56" s="17"/>
    </row>
    <row r="57" ht="15.75" customHeight="1">
      <c r="A57" s="16" t="s">
        <v>405</v>
      </c>
      <c r="B57" s="16" t="s">
        <v>71</v>
      </c>
      <c r="C57" s="16" t="s">
        <v>72</v>
      </c>
      <c r="D57" s="16" t="s">
        <v>406</v>
      </c>
      <c r="E57" s="16" t="s">
        <v>361</v>
      </c>
      <c r="F57" s="16" t="s">
        <v>24</v>
      </c>
      <c r="G57" s="16" t="s">
        <v>407</v>
      </c>
      <c r="H57" s="17"/>
      <c r="I57" s="16" t="s">
        <v>408</v>
      </c>
      <c r="J57" s="17"/>
      <c r="K57" s="16" t="s">
        <v>409</v>
      </c>
      <c r="L57" s="18" t="s">
        <v>410</v>
      </c>
      <c r="M57" s="18" t="s">
        <v>410</v>
      </c>
      <c r="N57" s="16" t="s">
        <v>80</v>
      </c>
      <c r="O57" s="16" t="s">
        <v>81</v>
      </c>
      <c r="P57" s="16" t="s">
        <v>82</v>
      </c>
      <c r="Q57" s="19">
        <v>46146.50531850694</v>
      </c>
      <c r="R57" s="17"/>
      <c r="S57" s="17"/>
      <c r="T57" s="17"/>
      <c r="U57" s="20"/>
      <c r="V57" s="17"/>
      <c r="W57" s="17"/>
      <c r="X57" s="17"/>
      <c r="Y57" s="17"/>
      <c r="Z57" s="17"/>
      <c r="AA57" s="17"/>
      <c r="AB57" s="17"/>
      <c r="AC57" s="16" t="s">
        <v>83</v>
      </c>
      <c r="AD57" s="19">
        <v>46153.0</v>
      </c>
      <c r="AE57" s="17"/>
      <c r="AF57" s="21">
        <v>46146.55193041667</v>
      </c>
      <c r="AG57" s="17"/>
      <c r="AH57" s="17"/>
      <c r="AI57" s="17"/>
      <c r="AJ57" s="17"/>
      <c r="AK57" s="17"/>
      <c r="AL57" s="17"/>
      <c r="AM57" s="17"/>
      <c r="AN57" s="17"/>
      <c r="AO57" s="17"/>
    </row>
    <row r="58" ht="15.75" customHeight="1">
      <c r="A58" s="16" t="s">
        <v>411</v>
      </c>
      <c r="B58" s="16" t="s">
        <v>71</v>
      </c>
      <c r="C58" s="16" t="s">
        <v>72</v>
      </c>
      <c r="D58" s="16" t="s">
        <v>412</v>
      </c>
      <c r="E58" s="16" t="s">
        <v>413</v>
      </c>
      <c r="F58" s="16" t="s">
        <v>75</v>
      </c>
      <c r="G58" s="16" t="s">
        <v>414</v>
      </c>
      <c r="H58" s="17"/>
      <c r="I58" s="16" t="s">
        <v>415</v>
      </c>
      <c r="J58" s="17"/>
      <c r="K58" s="16" t="s">
        <v>416</v>
      </c>
      <c r="L58" s="18" t="s">
        <v>417</v>
      </c>
      <c r="M58" s="18" t="s">
        <v>417</v>
      </c>
      <c r="N58" s="16" t="s">
        <v>80</v>
      </c>
      <c r="O58" s="16" t="s">
        <v>81</v>
      </c>
      <c r="P58" s="16" t="s">
        <v>82</v>
      </c>
      <c r="Q58" s="19">
        <v>46146.50616034722</v>
      </c>
      <c r="R58" s="17"/>
      <c r="S58" s="17"/>
      <c r="T58" s="17"/>
      <c r="U58" s="20"/>
      <c r="V58" s="17"/>
      <c r="W58" s="17"/>
      <c r="X58" s="17"/>
      <c r="Y58" s="17"/>
      <c r="Z58" s="17"/>
      <c r="AA58" s="17"/>
      <c r="AB58" s="17"/>
      <c r="AC58" s="16" t="s">
        <v>83</v>
      </c>
      <c r="AD58" s="19">
        <v>46153.0</v>
      </c>
      <c r="AE58" s="17"/>
      <c r="AF58" s="21">
        <v>46146.55193041667</v>
      </c>
      <c r="AG58" s="17"/>
      <c r="AH58" s="17"/>
      <c r="AI58" s="17"/>
      <c r="AJ58" s="17"/>
      <c r="AK58" s="17"/>
      <c r="AL58" s="17"/>
      <c r="AM58" s="17"/>
      <c r="AN58" s="17"/>
      <c r="AO58" s="17"/>
    </row>
    <row r="59" ht="15.75" customHeight="1">
      <c r="A59" s="16" t="s">
        <v>418</v>
      </c>
      <c r="B59" s="16" t="s">
        <v>71</v>
      </c>
      <c r="C59" s="16" t="s">
        <v>72</v>
      </c>
      <c r="D59" s="16" t="s">
        <v>419</v>
      </c>
      <c r="E59" s="16" t="s">
        <v>420</v>
      </c>
      <c r="F59" s="16" t="s">
        <v>279</v>
      </c>
      <c r="G59" s="16" t="s">
        <v>87</v>
      </c>
      <c r="H59" s="17"/>
      <c r="I59" s="16" t="s">
        <v>421</v>
      </c>
      <c r="J59" s="17"/>
      <c r="K59" s="16" t="s">
        <v>422</v>
      </c>
      <c r="L59" s="18" t="s">
        <v>423</v>
      </c>
      <c r="M59" s="18" t="s">
        <v>423</v>
      </c>
      <c r="N59" s="16" t="s">
        <v>100</v>
      </c>
      <c r="O59" s="16" t="s">
        <v>81</v>
      </c>
      <c r="P59" s="16" t="s">
        <v>82</v>
      </c>
      <c r="Q59" s="19">
        <v>46146.50634979167</v>
      </c>
      <c r="R59" s="17"/>
      <c r="S59" s="17"/>
      <c r="T59" s="17"/>
      <c r="U59" s="20"/>
      <c r="V59" s="17"/>
      <c r="W59" s="17"/>
      <c r="X59" s="17"/>
      <c r="Y59" s="17"/>
      <c r="Z59" s="17"/>
      <c r="AA59" s="17"/>
      <c r="AB59" s="17"/>
      <c r="AC59" s="16" t="s">
        <v>83</v>
      </c>
      <c r="AD59" s="19">
        <v>46153.0</v>
      </c>
      <c r="AE59" s="17"/>
      <c r="AF59" s="21">
        <v>46146.55193041667</v>
      </c>
      <c r="AG59" s="17"/>
      <c r="AH59" s="17"/>
      <c r="AI59" s="17"/>
      <c r="AJ59" s="17"/>
      <c r="AK59" s="17"/>
      <c r="AL59" s="17"/>
      <c r="AM59" s="17"/>
      <c r="AN59" s="17"/>
      <c r="AO59" s="17"/>
    </row>
    <row r="60" ht="15.75" customHeight="1">
      <c r="A60" s="16" t="s">
        <v>424</v>
      </c>
      <c r="B60" s="16" t="s">
        <v>71</v>
      </c>
      <c r="C60" s="16" t="s">
        <v>72</v>
      </c>
      <c r="D60" s="16" t="s">
        <v>425</v>
      </c>
      <c r="E60" s="16" t="s">
        <v>426</v>
      </c>
      <c r="F60" s="16" t="s">
        <v>24</v>
      </c>
      <c r="G60" s="16" t="s">
        <v>401</v>
      </c>
      <c r="H60" s="17"/>
      <c r="I60" s="17"/>
      <c r="J60" s="17"/>
      <c r="K60" s="17"/>
      <c r="L60" s="18" t="s">
        <v>427</v>
      </c>
      <c r="M60" s="18" t="s">
        <v>427</v>
      </c>
      <c r="N60" s="16" t="s">
        <v>100</v>
      </c>
      <c r="O60" s="16" t="s">
        <v>101</v>
      </c>
      <c r="P60" s="16" t="s">
        <v>102</v>
      </c>
      <c r="Q60" s="20"/>
      <c r="R60" s="17"/>
      <c r="S60" s="17"/>
      <c r="T60" s="17"/>
      <c r="U60" s="20"/>
      <c r="V60" s="17"/>
      <c r="W60" s="17"/>
      <c r="X60" s="17"/>
      <c r="Y60" s="17"/>
      <c r="Z60" s="17"/>
      <c r="AA60" s="17"/>
      <c r="AB60" s="17"/>
      <c r="AC60" s="17"/>
      <c r="AD60" s="20"/>
      <c r="AE60" s="17"/>
      <c r="AF60" s="21">
        <v>46146.55193041667</v>
      </c>
      <c r="AG60" s="17"/>
      <c r="AH60" s="17"/>
      <c r="AI60" s="17"/>
      <c r="AJ60" s="17"/>
      <c r="AK60" s="17"/>
      <c r="AL60" s="17"/>
      <c r="AM60" s="17"/>
      <c r="AN60" s="17"/>
      <c r="AO60" s="17"/>
    </row>
    <row r="61" ht="15.75" customHeight="1">
      <c r="A61" s="16" t="s">
        <v>428</v>
      </c>
      <c r="B61" s="16" t="s">
        <v>71</v>
      </c>
      <c r="C61" s="16" t="s">
        <v>72</v>
      </c>
      <c r="D61" s="16" t="s">
        <v>429</v>
      </c>
      <c r="E61" s="16" t="s">
        <v>361</v>
      </c>
      <c r="F61" s="16" t="s">
        <v>24</v>
      </c>
      <c r="G61" s="16" t="s">
        <v>87</v>
      </c>
      <c r="H61" s="17"/>
      <c r="I61" s="17"/>
      <c r="J61" s="17"/>
      <c r="K61" s="16" t="s">
        <v>430</v>
      </c>
      <c r="L61" s="18" t="s">
        <v>431</v>
      </c>
      <c r="M61" s="18" t="s">
        <v>431</v>
      </c>
      <c r="N61" s="16" t="s">
        <v>100</v>
      </c>
      <c r="O61" s="16" t="s">
        <v>101</v>
      </c>
      <c r="P61" s="16" t="s">
        <v>102</v>
      </c>
      <c r="Q61" s="20"/>
      <c r="R61" s="17"/>
      <c r="S61" s="17"/>
      <c r="T61" s="17"/>
      <c r="U61" s="20"/>
      <c r="V61" s="17"/>
      <c r="W61" s="17"/>
      <c r="X61" s="17"/>
      <c r="Y61" s="17"/>
      <c r="Z61" s="17"/>
      <c r="AA61" s="17"/>
      <c r="AB61" s="17"/>
      <c r="AC61" s="17"/>
      <c r="AD61" s="20"/>
      <c r="AE61" s="17"/>
      <c r="AF61" s="21">
        <v>46146.55193041667</v>
      </c>
      <c r="AG61" s="17"/>
      <c r="AH61" s="17"/>
      <c r="AI61" s="17"/>
      <c r="AJ61" s="17"/>
      <c r="AK61" s="17"/>
      <c r="AL61" s="17"/>
      <c r="AM61" s="17"/>
      <c r="AN61" s="17"/>
      <c r="AO61" s="17"/>
    </row>
    <row r="62" ht="15.75" customHeight="1">
      <c r="A62" s="16" t="s">
        <v>432</v>
      </c>
      <c r="B62" s="16" t="s">
        <v>71</v>
      </c>
      <c r="C62" s="16" t="s">
        <v>72</v>
      </c>
      <c r="D62" s="16" t="s">
        <v>433</v>
      </c>
      <c r="E62" s="16" t="s">
        <v>319</v>
      </c>
      <c r="F62" s="16" t="s">
        <v>24</v>
      </c>
      <c r="G62" s="16" t="s">
        <v>87</v>
      </c>
      <c r="H62" s="17"/>
      <c r="I62" s="16" t="s">
        <v>434</v>
      </c>
      <c r="J62" s="17"/>
      <c r="K62" s="16" t="s">
        <v>435</v>
      </c>
      <c r="L62" s="18" t="s">
        <v>436</v>
      </c>
      <c r="M62" s="18" t="s">
        <v>436</v>
      </c>
      <c r="N62" s="16" t="s">
        <v>166</v>
      </c>
      <c r="O62" s="16" t="s">
        <v>81</v>
      </c>
      <c r="P62" s="16" t="s">
        <v>82</v>
      </c>
      <c r="Q62" s="19">
        <v>46146.50524238426</v>
      </c>
      <c r="R62" s="17"/>
      <c r="S62" s="17"/>
      <c r="T62" s="17"/>
      <c r="U62" s="20"/>
      <c r="V62" s="17"/>
      <c r="W62" s="17"/>
      <c r="X62" s="17"/>
      <c r="Y62" s="17"/>
      <c r="Z62" s="17"/>
      <c r="AA62" s="17"/>
      <c r="AB62" s="17"/>
      <c r="AC62" s="16" t="s">
        <v>83</v>
      </c>
      <c r="AD62" s="19">
        <v>46153.0</v>
      </c>
      <c r="AE62" s="17"/>
      <c r="AF62" s="21">
        <v>46146.55193041667</v>
      </c>
      <c r="AG62" s="17"/>
      <c r="AH62" s="17"/>
      <c r="AI62" s="17"/>
      <c r="AJ62" s="17"/>
      <c r="AK62" s="17"/>
      <c r="AL62" s="17"/>
      <c r="AM62" s="17"/>
      <c r="AN62" s="17"/>
      <c r="AO62" s="17"/>
    </row>
    <row r="63" ht="15.75" customHeight="1">
      <c r="A63" s="16" t="s">
        <v>437</v>
      </c>
      <c r="B63" s="16" t="s">
        <v>71</v>
      </c>
      <c r="C63" s="16" t="s">
        <v>72</v>
      </c>
      <c r="D63" s="16" t="s">
        <v>438</v>
      </c>
      <c r="E63" s="16" t="s">
        <v>361</v>
      </c>
      <c r="F63" s="16" t="s">
        <v>24</v>
      </c>
      <c r="G63" s="16" t="s">
        <v>401</v>
      </c>
      <c r="H63" s="17"/>
      <c r="I63" s="16" t="s">
        <v>439</v>
      </c>
      <c r="J63" s="17"/>
      <c r="K63" s="17"/>
      <c r="L63" s="18" t="s">
        <v>440</v>
      </c>
      <c r="M63" s="18" t="s">
        <v>440</v>
      </c>
      <c r="N63" s="16" t="s">
        <v>80</v>
      </c>
      <c r="O63" s="16" t="s">
        <v>81</v>
      </c>
      <c r="P63" s="16" t="s">
        <v>82</v>
      </c>
      <c r="Q63" s="19">
        <v>46146.50523546296</v>
      </c>
      <c r="R63" s="17"/>
      <c r="S63" s="17"/>
      <c r="T63" s="17"/>
      <c r="U63" s="20"/>
      <c r="V63" s="17"/>
      <c r="W63" s="17"/>
      <c r="X63" s="17"/>
      <c r="Y63" s="17"/>
      <c r="Z63" s="17"/>
      <c r="AA63" s="17"/>
      <c r="AB63" s="17"/>
      <c r="AC63" s="16" t="s">
        <v>83</v>
      </c>
      <c r="AD63" s="19">
        <v>46153.0</v>
      </c>
      <c r="AE63" s="17"/>
      <c r="AF63" s="21">
        <v>46146.55193041667</v>
      </c>
      <c r="AG63" s="17"/>
      <c r="AH63" s="17"/>
      <c r="AI63" s="17"/>
      <c r="AJ63" s="17"/>
      <c r="AK63" s="17"/>
      <c r="AL63" s="17"/>
      <c r="AM63" s="17"/>
      <c r="AN63" s="17"/>
      <c r="AO63" s="17"/>
    </row>
    <row r="64" ht="15.75" customHeight="1">
      <c r="A64" s="16" t="s">
        <v>441</v>
      </c>
      <c r="B64" s="16" t="s">
        <v>71</v>
      </c>
      <c r="C64" s="16" t="s">
        <v>72</v>
      </c>
      <c r="D64" s="16" t="s">
        <v>442</v>
      </c>
      <c r="E64" s="16" t="s">
        <v>361</v>
      </c>
      <c r="F64" s="16" t="s">
        <v>24</v>
      </c>
      <c r="G64" s="16" t="s">
        <v>87</v>
      </c>
      <c r="H64" s="17"/>
      <c r="I64" s="16" t="s">
        <v>443</v>
      </c>
      <c r="J64" s="17"/>
      <c r="K64" s="16" t="s">
        <v>444</v>
      </c>
      <c r="L64" s="18" t="s">
        <v>445</v>
      </c>
      <c r="M64" s="18" t="s">
        <v>445</v>
      </c>
      <c r="N64" s="16" t="s">
        <v>166</v>
      </c>
      <c r="O64" s="16" t="s">
        <v>81</v>
      </c>
      <c r="P64" s="16" t="s">
        <v>82</v>
      </c>
      <c r="Q64" s="19">
        <v>46146.50519105324</v>
      </c>
      <c r="R64" s="17"/>
      <c r="S64" s="17"/>
      <c r="T64" s="17"/>
      <c r="U64" s="20"/>
      <c r="V64" s="17"/>
      <c r="W64" s="17"/>
      <c r="X64" s="17"/>
      <c r="Y64" s="17"/>
      <c r="Z64" s="17"/>
      <c r="AA64" s="17"/>
      <c r="AB64" s="17"/>
      <c r="AC64" s="16" t="s">
        <v>83</v>
      </c>
      <c r="AD64" s="19">
        <v>46153.0</v>
      </c>
      <c r="AE64" s="17"/>
      <c r="AF64" s="21">
        <v>46146.55193041667</v>
      </c>
      <c r="AG64" s="17"/>
      <c r="AH64" s="17"/>
      <c r="AI64" s="17"/>
      <c r="AJ64" s="17"/>
      <c r="AK64" s="17"/>
      <c r="AL64" s="17"/>
      <c r="AM64" s="17"/>
      <c r="AN64" s="17"/>
      <c r="AO64" s="17"/>
    </row>
    <row r="65" ht="15.75" customHeight="1">
      <c r="A65" s="16" t="s">
        <v>446</v>
      </c>
      <c r="B65" s="16" t="s">
        <v>71</v>
      </c>
      <c r="C65" s="16" t="s">
        <v>72</v>
      </c>
      <c r="D65" s="16" t="s">
        <v>447</v>
      </c>
      <c r="E65" s="16" t="s">
        <v>97</v>
      </c>
      <c r="F65" s="16" t="s">
        <v>24</v>
      </c>
      <c r="G65" s="16" t="s">
        <v>448</v>
      </c>
      <c r="H65" s="17"/>
      <c r="I65" s="16" t="s">
        <v>449</v>
      </c>
      <c r="J65" s="17"/>
      <c r="K65" s="16" t="s">
        <v>450</v>
      </c>
      <c r="L65" s="18" t="s">
        <v>451</v>
      </c>
      <c r="M65" s="18" t="s">
        <v>451</v>
      </c>
      <c r="N65" s="16" t="s">
        <v>166</v>
      </c>
      <c r="O65" s="16" t="s">
        <v>81</v>
      </c>
      <c r="P65" s="16" t="s">
        <v>82</v>
      </c>
      <c r="Q65" s="19">
        <v>46146.50518381945</v>
      </c>
      <c r="R65" s="17"/>
      <c r="S65" s="17"/>
      <c r="T65" s="17"/>
      <c r="U65" s="20"/>
      <c r="V65" s="17"/>
      <c r="W65" s="17"/>
      <c r="X65" s="17"/>
      <c r="Y65" s="17"/>
      <c r="Z65" s="17"/>
      <c r="AA65" s="17"/>
      <c r="AB65" s="17"/>
      <c r="AC65" s="16" t="s">
        <v>83</v>
      </c>
      <c r="AD65" s="19">
        <v>46153.0</v>
      </c>
      <c r="AE65" s="17"/>
      <c r="AF65" s="21">
        <v>46146.55193041667</v>
      </c>
      <c r="AG65" s="17"/>
      <c r="AH65" s="17"/>
      <c r="AI65" s="17"/>
      <c r="AJ65" s="17"/>
      <c r="AK65" s="17"/>
      <c r="AL65" s="17"/>
      <c r="AM65" s="17"/>
      <c r="AN65" s="17"/>
      <c r="AO65" s="17"/>
    </row>
    <row r="66" ht="15.75" customHeight="1">
      <c r="A66" s="16" t="s">
        <v>452</v>
      </c>
      <c r="B66" s="16" t="s">
        <v>71</v>
      </c>
      <c r="C66" s="16" t="s">
        <v>72</v>
      </c>
      <c r="D66" s="16" t="s">
        <v>453</v>
      </c>
      <c r="E66" s="16" t="s">
        <v>361</v>
      </c>
      <c r="F66" s="16" t="s">
        <v>24</v>
      </c>
      <c r="G66" s="16" t="s">
        <v>87</v>
      </c>
      <c r="H66" s="17"/>
      <c r="I66" s="16" t="s">
        <v>454</v>
      </c>
      <c r="J66" s="17"/>
      <c r="K66" s="17"/>
      <c r="L66" s="18" t="s">
        <v>455</v>
      </c>
      <c r="M66" s="18" t="s">
        <v>455</v>
      </c>
      <c r="N66" s="16" t="s">
        <v>100</v>
      </c>
      <c r="O66" s="16" t="s">
        <v>81</v>
      </c>
      <c r="P66" s="16" t="s">
        <v>82</v>
      </c>
      <c r="Q66" s="19">
        <v>46146.506074074074</v>
      </c>
      <c r="R66" s="17"/>
      <c r="S66" s="17"/>
      <c r="T66" s="17"/>
      <c r="U66" s="20"/>
      <c r="V66" s="17"/>
      <c r="W66" s="17"/>
      <c r="X66" s="17"/>
      <c r="Y66" s="17"/>
      <c r="Z66" s="17"/>
      <c r="AA66" s="17"/>
      <c r="AB66" s="17"/>
      <c r="AC66" s="16" t="s">
        <v>83</v>
      </c>
      <c r="AD66" s="19">
        <v>46153.0</v>
      </c>
      <c r="AE66" s="17"/>
      <c r="AF66" s="21">
        <v>46146.55193041667</v>
      </c>
      <c r="AG66" s="17"/>
      <c r="AH66" s="17"/>
      <c r="AI66" s="17"/>
      <c r="AJ66" s="17"/>
      <c r="AK66" s="17"/>
      <c r="AL66" s="17"/>
      <c r="AM66" s="17"/>
      <c r="AN66" s="17"/>
      <c r="AO66" s="17"/>
    </row>
    <row r="67" ht="15.75" customHeight="1">
      <c r="A67" s="16" t="s">
        <v>456</v>
      </c>
      <c r="B67" s="16" t="s">
        <v>71</v>
      </c>
      <c r="C67" s="16" t="s">
        <v>72</v>
      </c>
      <c r="D67" s="16" t="s">
        <v>457</v>
      </c>
      <c r="E67" s="16" t="s">
        <v>458</v>
      </c>
      <c r="F67" s="16" t="s">
        <v>75</v>
      </c>
      <c r="G67" s="16" t="s">
        <v>87</v>
      </c>
      <c r="H67" s="17"/>
      <c r="I67" s="16" t="s">
        <v>459</v>
      </c>
      <c r="J67" s="17"/>
      <c r="K67" s="16" t="s">
        <v>340</v>
      </c>
      <c r="L67" s="18" t="s">
        <v>460</v>
      </c>
      <c r="M67" s="18" t="s">
        <v>460</v>
      </c>
      <c r="N67" s="16" t="s">
        <v>166</v>
      </c>
      <c r="O67" s="16" t="s">
        <v>81</v>
      </c>
      <c r="P67" s="16" t="s">
        <v>82</v>
      </c>
      <c r="Q67" s="19">
        <v>46146.50608209491</v>
      </c>
      <c r="R67" s="17"/>
      <c r="S67" s="17"/>
      <c r="T67" s="17"/>
      <c r="U67" s="20"/>
      <c r="V67" s="17"/>
      <c r="W67" s="17"/>
      <c r="X67" s="17"/>
      <c r="Y67" s="17"/>
      <c r="Z67" s="17"/>
      <c r="AA67" s="17"/>
      <c r="AB67" s="17"/>
      <c r="AC67" s="16" t="s">
        <v>83</v>
      </c>
      <c r="AD67" s="19">
        <v>46153.0</v>
      </c>
      <c r="AE67" s="17"/>
      <c r="AF67" s="21">
        <v>46146.55193041667</v>
      </c>
      <c r="AG67" s="17"/>
      <c r="AH67" s="17"/>
      <c r="AI67" s="17"/>
      <c r="AJ67" s="17"/>
      <c r="AK67" s="17"/>
      <c r="AL67" s="17"/>
      <c r="AM67" s="17"/>
      <c r="AN67" s="17"/>
      <c r="AO67" s="17"/>
    </row>
    <row r="68" ht="15.75" customHeight="1">
      <c r="A68" s="16" t="s">
        <v>461</v>
      </c>
      <c r="B68" s="16" t="s">
        <v>71</v>
      </c>
      <c r="C68" s="16" t="s">
        <v>72</v>
      </c>
      <c r="D68" s="16" t="s">
        <v>462</v>
      </c>
      <c r="E68" s="16" t="s">
        <v>463</v>
      </c>
      <c r="F68" s="16" t="s">
        <v>75</v>
      </c>
      <c r="G68" s="16" t="s">
        <v>203</v>
      </c>
      <c r="H68" s="17"/>
      <c r="I68" s="16" t="s">
        <v>464</v>
      </c>
      <c r="J68" s="17"/>
      <c r="K68" s="16" t="s">
        <v>465</v>
      </c>
      <c r="L68" s="18" t="s">
        <v>466</v>
      </c>
      <c r="M68" s="18" t="s">
        <v>466</v>
      </c>
      <c r="N68" s="16" t="s">
        <v>166</v>
      </c>
      <c r="O68" s="16" t="s">
        <v>81</v>
      </c>
      <c r="P68" s="16" t="s">
        <v>82</v>
      </c>
      <c r="Q68" s="19">
        <v>46146.506151134265</v>
      </c>
      <c r="R68" s="17"/>
      <c r="S68" s="17"/>
      <c r="T68" s="17"/>
      <c r="U68" s="20"/>
      <c r="V68" s="17"/>
      <c r="W68" s="17"/>
      <c r="X68" s="17"/>
      <c r="Y68" s="17"/>
      <c r="Z68" s="17"/>
      <c r="AA68" s="17"/>
      <c r="AB68" s="17"/>
      <c r="AC68" s="16" t="s">
        <v>83</v>
      </c>
      <c r="AD68" s="19">
        <v>46153.0</v>
      </c>
      <c r="AE68" s="17"/>
      <c r="AF68" s="21">
        <v>46146.55193041667</v>
      </c>
      <c r="AG68" s="17"/>
      <c r="AH68" s="17"/>
      <c r="AI68" s="17"/>
      <c r="AJ68" s="17"/>
      <c r="AK68" s="17"/>
      <c r="AL68" s="17"/>
      <c r="AM68" s="17"/>
      <c r="AN68" s="17"/>
      <c r="AO68" s="17"/>
    </row>
    <row r="69" ht="15.75" customHeight="1">
      <c r="A69" s="16" t="s">
        <v>467</v>
      </c>
      <c r="B69" s="16" t="s">
        <v>468</v>
      </c>
      <c r="C69" s="16" t="s">
        <v>469</v>
      </c>
      <c r="D69" s="16" t="s">
        <v>470</v>
      </c>
      <c r="E69" s="16" t="s">
        <v>471</v>
      </c>
      <c r="F69" s="16" t="s">
        <v>472</v>
      </c>
      <c r="G69" s="16" t="s">
        <v>473</v>
      </c>
      <c r="H69" s="16" t="s">
        <v>474</v>
      </c>
      <c r="I69" s="16" t="s">
        <v>475</v>
      </c>
      <c r="J69" s="16" t="s">
        <v>476</v>
      </c>
      <c r="K69" s="16" t="s">
        <v>477</v>
      </c>
      <c r="L69" s="18" t="s">
        <v>478</v>
      </c>
      <c r="M69" s="18" t="s">
        <v>478</v>
      </c>
      <c r="N69" s="16" t="s">
        <v>80</v>
      </c>
      <c r="O69" s="16" t="s">
        <v>81</v>
      </c>
      <c r="P69" s="16" t="s">
        <v>82</v>
      </c>
      <c r="Q69" s="19">
        <v>46146.206670590276</v>
      </c>
      <c r="R69" s="17"/>
      <c r="S69" s="17"/>
      <c r="T69" s="17"/>
      <c r="U69" s="20"/>
      <c r="V69" s="17"/>
      <c r="W69" s="16" t="s">
        <v>477</v>
      </c>
      <c r="X69" s="17"/>
      <c r="Y69" s="17"/>
      <c r="Z69" s="17"/>
      <c r="AA69" s="17"/>
      <c r="AB69" s="17"/>
      <c r="AC69" s="17"/>
      <c r="AD69" s="20"/>
      <c r="AE69" s="16" t="s">
        <v>479</v>
      </c>
      <c r="AF69" s="21">
        <v>46146.55186371528</v>
      </c>
      <c r="AG69" s="16" t="s">
        <v>480</v>
      </c>
      <c r="AH69" s="16"/>
      <c r="AI69" s="16"/>
      <c r="AJ69" s="16"/>
      <c r="AK69" s="16"/>
      <c r="AL69" s="16"/>
      <c r="AM69" s="16"/>
      <c r="AN69" s="16"/>
      <c r="AO69" s="16"/>
    </row>
    <row r="70" ht="15.75" customHeight="1">
      <c r="A70" s="16" t="s">
        <v>481</v>
      </c>
      <c r="B70" s="16" t="s">
        <v>468</v>
      </c>
      <c r="C70" s="16" t="s">
        <v>469</v>
      </c>
      <c r="D70" s="16" t="s">
        <v>482</v>
      </c>
      <c r="E70" s="16" t="s">
        <v>471</v>
      </c>
      <c r="F70" s="16" t="s">
        <v>472</v>
      </c>
      <c r="G70" s="16" t="s">
        <v>87</v>
      </c>
      <c r="H70" s="17"/>
      <c r="I70" s="16" t="s">
        <v>483</v>
      </c>
      <c r="J70" s="17"/>
      <c r="K70" s="17"/>
      <c r="L70" s="18" t="s">
        <v>484</v>
      </c>
      <c r="M70" s="18" t="s">
        <v>484</v>
      </c>
      <c r="N70" s="16" t="s">
        <v>80</v>
      </c>
      <c r="O70" s="16" t="s">
        <v>81</v>
      </c>
      <c r="P70" s="16" t="s">
        <v>82</v>
      </c>
      <c r="Q70" s="19">
        <v>46146.205337175925</v>
      </c>
      <c r="R70" s="17"/>
      <c r="S70" s="17"/>
      <c r="T70" s="17"/>
      <c r="U70" s="20"/>
      <c r="V70" s="17"/>
      <c r="W70" s="17"/>
      <c r="X70" s="17"/>
      <c r="Y70" s="17"/>
      <c r="Z70" s="17"/>
      <c r="AA70" s="17"/>
      <c r="AB70" s="17"/>
      <c r="AC70" s="17"/>
      <c r="AD70" s="20"/>
      <c r="AE70" s="16" t="s">
        <v>485</v>
      </c>
      <c r="AF70" s="21">
        <v>46146.55186371528</v>
      </c>
      <c r="AG70" s="16" t="s">
        <v>480</v>
      </c>
      <c r="AH70" s="16"/>
      <c r="AI70" s="16"/>
      <c r="AJ70" s="16"/>
      <c r="AK70" s="16"/>
      <c r="AL70" s="16"/>
      <c r="AM70" s="16"/>
      <c r="AN70" s="16"/>
      <c r="AO70" s="16"/>
    </row>
    <row r="71" ht="15.75" customHeight="1">
      <c r="A71" s="16" t="s">
        <v>486</v>
      </c>
      <c r="B71" s="16" t="s">
        <v>468</v>
      </c>
      <c r="C71" s="16" t="s">
        <v>469</v>
      </c>
      <c r="D71" s="16" t="s">
        <v>487</v>
      </c>
      <c r="E71" s="16" t="s">
        <v>471</v>
      </c>
      <c r="F71" s="16" t="s">
        <v>472</v>
      </c>
      <c r="G71" s="16" t="s">
        <v>87</v>
      </c>
      <c r="H71" s="16" t="s">
        <v>488</v>
      </c>
      <c r="I71" s="16" t="s">
        <v>489</v>
      </c>
      <c r="J71" s="17"/>
      <c r="K71" s="17"/>
      <c r="L71" s="18" t="s">
        <v>490</v>
      </c>
      <c r="M71" s="18" t="s">
        <v>491</v>
      </c>
      <c r="N71" s="16" t="s">
        <v>100</v>
      </c>
      <c r="O71" s="16" t="s">
        <v>81</v>
      </c>
      <c r="P71" s="16" t="s">
        <v>82</v>
      </c>
      <c r="Q71" s="19">
        <v>46146.207091828706</v>
      </c>
      <c r="R71" s="17"/>
      <c r="S71" s="17"/>
      <c r="T71" s="17"/>
      <c r="U71" s="20"/>
      <c r="V71" s="17"/>
      <c r="W71" s="17"/>
      <c r="X71" s="17"/>
      <c r="Y71" s="17"/>
      <c r="Z71" s="17"/>
      <c r="AA71" s="17"/>
      <c r="AB71" s="17"/>
      <c r="AC71" s="17"/>
      <c r="AD71" s="20"/>
      <c r="AE71" s="16" t="s">
        <v>492</v>
      </c>
      <c r="AF71" s="21">
        <v>46146.55186371528</v>
      </c>
      <c r="AG71" s="16" t="s">
        <v>480</v>
      </c>
      <c r="AH71" s="16"/>
      <c r="AI71" s="16"/>
      <c r="AJ71" s="16"/>
      <c r="AK71" s="16"/>
      <c r="AL71" s="16"/>
      <c r="AM71" s="16"/>
      <c r="AN71" s="16"/>
      <c r="AO71" s="16"/>
    </row>
    <row r="72" ht="15.75" customHeight="1">
      <c r="A72" s="16" t="s">
        <v>493</v>
      </c>
      <c r="B72" s="16" t="s">
        <v>468</v>
      </c>
      <c r="C72" s="16" t="s">
        <v>469</v>
      </c>
      <c r="D72" s="16" t="s">
        <v>494</v>
      </c>
      <c r="E72" s="16" t="s">
        <v>471</v>
      </c>
      <c r="F72" s="16" t="s">
        <v>472</v>
      </c>
      <c r="G72" s="16" t="s">
        <v>87</v>
      </c>
      <c r="H72" s="17"/>
      <c r="I72" s="16" t="s">
        <v>495</v>
      </c>
      <c r="J72" s="17"/>
      <c r="K72" s="17"/>
      <c r="L72" s="18" t="s">
        <v>496</v>
      </c>
      <c r="M72" s="18" t="s">
        <v>497</v>
      </c>
      <c r="N72" s="16" t="s">
        <v>498</v>
      </c>
      <c r="O72" s="16" t="s">
        <v>101</v>
      </c>
      <c r="P72" s="16" t="s">
        <v>499</v>
      </c>
      <c r="Q72" s="20"/>
      <c r="R72" s="16" t="s">
        <v>500</v>
      </c>
      <c r="S72" s="17"/>
      <c r="T72" s="17"/>
      <c r="U72" s="20"/>
      <c r="V72" s="17"/>
      <c r="W72" s="17"/>
      <c r="X72" s="17"/>
      <c r="Y72" s="17"/>
      <c r="Z72" s="17"/>
      <c r="AA72" s="17"/>
      <c r="AB72" s="17"/>
      <c r="AC72" s="17"/>
      <c r="AD72" s="20"/>
      <c r="AE72" s="16" t="s">
        <v>501</v>
      </c>
      <c r="AF72" s="21">
        <v>46146.55186371528</v>
      </c>
      <c r="AG72" s="16" t="s">
        <v>480</v>
      </c>
      <c r="AH72" s="16"/>
      <c r="AI72" s="16"/>
      <c r="AJ72" s="16"/>
      <c r="AK72" s="16"/>
      <c r="AL72" s="16"/>
      <c r="AM72" s="16"/>
      <c r="AN72" s="16"/>
      <c r="AO72" s="16"/>
    </row>
    <row r="73" ht="15.75" customHeight="1">
      <c r="A73" s="16" t="s">
        <v>502</v>
      </c>
      <c r="B73" s="16" t="s">
        <v>468</v>
      </c>
      <c r="C73" s="16" t="s">
        <v>469</v>
      </c>
      <c r="D73" s="16" t="s">
        <v>503</v>
      </c>
      <c r="E73" s="16" t="s">
        <v>471</v>
      </c>
      <c r="F73" s="16" t="s">
        <v>472</v>
      </c>
      <c r="G73" s="16" t="s">
        <v>87</v>
      </c>
      <c r="H73" s="16" t="s">
        <v>504</v>
      </c>
      <c r="I73" s="16" t="s">
        <v>505</v>
      </c>
      <c r="J73" s="17"/>
      <c r="K73" s="17"/>
      <c r="L73" s="18" t="s">
        <v>506</v>
      </c>
      <c r="M73" s="18" t="s">
        <v>507</v>
      </c>
      <c r="N73" s="16" t="s">
        <v>100</v>
      </c>
      <c r="O73" s="16" t="s">
        <v>81</v>
      </c>
      <c r="P73" s="16" t="s">
        <v>82</v>
      </c>
      <c r="Q73" s="19">
        <v>46146.20714165509</v>
      </c>
      <c r="R73" s="17"/>
      <c r="S73" s="17"/>
      <c r="T73" s="17"/>
      <c r="U73" s="20"/>
      <c r="V73" s="17"/>
      <c r="W73" s="17"/>
      <c r="X73" s="17"/>
      <c r="Y73" s="17"/>
      <c r="Z73" s="17"/>
      <c r="AA73" s="17"/>
      <c r="AB73" s="17"/>
      <c r="AC73" s="17"/>
      <c r="AD73" s="20"/>
      <c r="AE73" s="16" t="s">
        <v>508</v>
      </c>
      <c r="AF73" s="21">
        <v>46146.55186371528</v>
      </c>
      <c r="AG73" s="16" t="s">
        <v>480</v>
      </c>
      <c r="AH73" s="16"/>
      <c r="AI73" s="16"/>
      <c r="AJ73" s="16"/>
      <c r="AK73" s="16"/>
      <c r="AL73" s="16"/>
      <c r="AM73" s="16"/>
      <c r="AN73" s="16"/>
      <c r="AO73" s="16"/>
    </row>
    <row r="74" ht="15.75" customHeight="1">
      <c r="A74" s="16" t="s">
        <v>509</v>
      </c>
      <c r="B74" s="16" t="s">
        <v>468</v>
      </c>
      <c r="C74" s="16" t="s">
        <v>469</v>
      </c>
      <c r="D74" s="16" t="s">
        <v>510</v>
      </c>
      <c r="E74" s="16" t="s">
        <v>471</v>
      </c>
      <c r="F74" s="16" t="s">
        <v>472</v>
      </c>
      <c r="G74" s="16" t="s">
        <v>87</v>
      </c>
      <c r="H74" s="16" t="s">
        <v>511</v>
      </c>
      <c r="I74" s="16" t="s">
        <v>512</v>
      </c>
      <c r="J74" s="17"/>
      <c r="K74" s="17"/>
      <c r="L74" s="18" t="s">
        <v>513</v>
      </c>
      <c r="M74" s="18" t="s">
        <v>514</v>
      </c>
      <c r="N74" s="16" t="s">
        <v>100</v>
      </c>
      <c r="O74" s="16" t="s">
        <v>81</v>
      </c>
      <c r="P74" s="16" t="s">
        <v>82</v>
      </c>
      <c r="Q74" s="19">
        <v>46146.207145</v>
      </c>
      <c r="R74" s="17"/>
      <c r="S74" s="17"/>
      <c r="T74" s="17"/>
      <c r="U74" s="20"/>
      <c r="V74" s="17"/>
      <c r="W74" s="17"/>
      <c r="X74" s="17"/>
      <c r="Y74" s="17"/>
      <c r="Z74" s="17"/>
      <c r="AA74" s="17"/>
      <c r="AB74" s="17"/>
      <c r="AC74" s="17"/>
      <c r="AD74" s="20"/>
      <c r="AE74" s="16" t="s">
        <v>515</v>
      </c>
      <c r="AF74" s="21">
        <v>46146.55186371528</v>
      </c>
      <c r="AG74" s="16" t="s">
        <v>480</v>
      </c>
      <c r="AH74" s="16"/>
      <c r="AI74" s="16"/>
      <c r="AJ74" s="16"/>
      <c r="AK74" s="16"/>
      <c r="AL74" s="16"/>
      <c r="AM74" s="16"/>
      <c r="AN74" s="16"/>
      <c r="AO74" s="16"/>
    </row>
    <row r="75" ht="15.75" customHeight="1">
      <c r="A75" s="16" t="s">
        <v>516</v>
      </c>
      <c r="B75" s="16" t="s">
        <v>468</v>
      </c>
      <c r="C75" s="16" t="s">
        <v>469</v>
      </c>
      <c r="D75" s="16" t="s">
        <v>517</v>
      </c>
      <c r="E75" s="16" t="s">
        <v>471</v>
      </c>
      <c r="F75" s="16" t="s">
        <v>472</v>
      </c>
      <c r="G75" s="16" t="s">
        <v>87</v>
      </c>
      <c r="H75" s="17"/>
      <c r="I75" s="16" t="s">
        <v>518</v>
      </c>
      <c r="J75" s="17"/>
      <c r="K75" s="17"/>
      <c r="L75" s="18" t="s">
        <v>519</v>
      </c>
      <c r="M75" s="18" t="s">
        <v>520</v>
      </c>
      <c r="N75" s="16" t="s">
        <v>100</v>
      </c>
      <c r="O75" s="16" t="s">
        <v>81</v>
      </c>
      <c r="P75" s="16" t="s">
        <v>82</v>
      </c>
      <c r="Q75" s="19">
        <v>46146.20725894676</v>
      </c>
      <c r="R75" s="17"/>
      <c r="S75" s="17"/>
      <c r="T75" s="17"/>
      <c r="U75" s="20"/>
      <c r="V75" s="17"/>
      <c r="W75" s="17"/>
      <c r="X75" s="17"/>
      <c r="Y75" s="17"/>
      <c r="Z75" s="17"/>
      <c r="AA75" s="17"/>
      <c r="AB75" s="17"/>
      <c r="AC75" s="17"/>
      <c r="AD75" s="20"/>
      <c r="AE75" s="16" t="s">
        <v>521</v>
      </c>
      <c r="AF75" s="21">
        <v>46146.55186371528</v>
      </c>
      <c r="AG75" s="16" t="s">
        <v>480</v>
      </c>
      <c r="AH75" s="16"/>
      <c r="AI75" s="16"/>
      <c r="AJ75" s="16"/>
      <c r="AK75" s="16"/>
      <c r="AL75" s="16"/>
      <c r="AM75" s="16"/>
      <c r="AN75" s="16"/>
      <c r="AO75" s="16"/>
    </row>
    <row r="76" ht="15.75" customHeight="1">
      <c r="A76" s="16" t="s">
        <v>522</v>
      </c>
      <c r="B76" s="16" t="s">
        <v>468</v>
      </c>
      <c r="C76" s="16" t="s">
        <v>469</v>
      </c>
      <c r="D76" s="16" t="s">
        <v>523</v>
      </c>
      <c r="E76" s="16" t="s">
        <v>471</v>
      </c>
      <c r="F76" s="16" t="s">
        <v>472</v>
      </c>
      <c r="G76" s="16" t="s">
        <v>87</v>
      </c>
      <c r="H76" s="16" t="s">
        <v>524</v>
      </c>
      <c r="I76" s="16" t="s">
        <v>525</v>
      </c>
      <c r="J76" s="17"/>
      <c r="K76" s="17"/>
      <c r="L76" s="18" t="s">
        <v>526</v>
      </c>
      <c r="M76" s="18" t="s">
        <v>527</v>
      </c>
      <c r="N76" s="16" t="s">
        <v>80</v>
      </c>
      <c r="O76" s="16" t="s">
        <v>81</v>
      </c>
      <c r="P76" s="16" t="s">
        <v>82</v>
      </c>
      <c r="Q76" s="19">
        <v>46146.20538652778</v>
      </c>
      <c r="R76" s="17"/>
      <c r="S76" s="17"/>
      <c r="T76" s="16" t="s">
        <v>297</v>
      </c>
      <c r="U76" s="20"/>
      <c r="V76" s="17"/>
      <c r="W76" s="17"/>
      <c r="X76" s="17"/>
      <c r="Y76" s="17"/>
      <c r="Z76" s="17"/>
      <c r="AA76" s="17"/>
      <c r="AB76" s="17"/>
      <c r="AC76" s="17"/>
      <c r="AD76" s="20"/>
      <c r="AE76" s="16" t="s">
        <v>528</v>
      </c>
      <c r="AF76" s="21">
        <v>46146.55186371528</v>
      </c>
      <c r="AG76" s="16" t="s">
        <v>480</v>
      </c>
      <c r="AH76" s="16"/>
      <c r="AI76" s="16"/>
      <c r="AJ76" s="16" t="s">
        <v>297</v>
      </c>
      <c r="AK76" s="16"/>
      <c r="AL76" s="16"/>
      <c r="AM76" s="16" t="s">
        <v>18</v>
      </c>
      <c r="AN76" s="16" t="s">
        <v>303</v>
      </c>
      <c r="AO76" s="16" t="s">
        <v>304</v>
      </c>
    </row>
    <row r="77" ht="15.75" customHeight="1">
      <c r="A77" s="16" t="s">
        <v>529</v>
      </c>
      <c r="B77" s="16" t="s">
        <v>468</v>
      </c>
      <c r="C77" s="16" t="s">
        <v>469</v>
      </c>
      <c r="D77" s="16" t="s">
        <v>530</v>
      </c>
      <c r="E77" s="16" t="s">
        <v>471</v>
      </c>
      <c r="F77" s="16" t="s">
        <v>472</v>
      </c>
      <c r="G77" s="16" t="s">
        <v>87</v>
      </c>
      <c r="H77" s="16" t="s">
        <v>531</v>
      </c>
      <c r="I77" s="16" t="s">
        <v>532</v>
      </c>
      <c r="J77" s="17"/>
      <c r="K77" s="17"/>
      <c r="L77" s="18" t="s">
        <v>533</v>
      </c>
      <c r="M77" s="18" t="s">
        <v>534</v>
      </c>
      <c r="N77" s="16" t="s">
        <v>100</v>
      </c>
      <c r="O77" s="16" t="s">
        <v>81</v>
      </c>
      <c r="P77" s="16" t="s">
        <v>82</v>
      </c>
      <c r="Q77" s="19">
        <v>46146.207261655094</v>
      </c>
      <c r="R77" s="17"/>
      <c r="S77" s="17"/>
      <c r="T77" s="17"/>
      <c r="U77" s="20"/>
      <c r="V77" s="17"/>
      <c r="W77" s="17"/>
      <c r="X77" s="17"/>
      <c r="Y77" s="17"/>
      <c r="Z77" s="17"/>
      <c r="AA77" s="17"/>
      <c r="AB77" s="17"/>
      <c r="AC77" s="17"/>
      <c r="AD77" s="20"/>
      <c r="AE77" s="16" t="s">
        <v>535</v>
      </c>
      <c r="AF77" s="21">
        <v>46146.55186371528</v>
      </c>
      <c r="AG77" s="16" t="s">
        <v>480</v>
      </c>
      <c r="AH77" s="16"/>
      <c r="AI77" s="16"/>
      <c r="AJ77" s="16"/>
      <c r="AK77" s="16"/>
      <c r="AL77" s="16"/>
      <c r="AM77" s="16"/>
      <c r="AN77" s="16"/>
      <c r="AO77" s="16"/>
    </row>
    <row r="78" ht="15.75" customHeight="1">
      <c r="A78" s="16" t="s">
        <v>536</v>
      </c>
      <c r="B78" s="16" t="s">
        <v>468</v>
      </c>
      <c r="C78" s="16" t="s">
        <v>469</v>
      </c>
      <c r="D78" s="16" t="s">
        <v>537</v>
      </c>
      <c r="E78" s="16" t="s">
        <v>471</v>
      </c>
      <c r="F78" s="16" t="s">
        <v>472</v>
      </c>
      <c r="G78" s="16" t="s">
        <v>87</v>
      </c>
      <c r="H78" s="16" t="s">
        <v>538</v>
      </c>
      <c r="I78" s="16" t="s">
        <v>539</v>
      </c>
      <c r="J78" s="17"/>
      <c r="K78" s="17"/>
      <c r="L78" s="18" t="s">
        <v>540</v>
      </c>
      <c r="M78" s="18" t="s">
        <v>541</v>
      </c>
      <c r="N78" s="16" t="s">
        <v>100</v>
      </c>
      <c r="O78" s="16" t="s">
        <v>81</v>
      </c>
      <c r="P78" s="16" t="s">
        <v>82</v>
      </c>
      <c r="Q78" s="19">
        <v>46146.20726722223</v>
      </c>
      <c r="R78" s="17"/>
      <c r="S78" s="17"/>
      <c r="T78" s="17"/>
      <c r="U78" s="20"/>
      <c r="V78" s="17"/>
      <c r="W78" s="17"/>
      <c r="X78" s="17"/>
      <c r="Y78" s="17"/>
      <c r="Z78" s="17"/>
      <c r="AA78" s="17"/>
      <c r="AB78" s="17"/>
      <c r="AC78" s="17"/>
      <c r="AD78" s="20"/>
      <c r="AE78" s="16" t="s">
        <v>542</v>
      </c>
      <c r="AF78" s="21">
        <v>46146.55186371528</v>
      </c>
      <c r="AG78" s="16" t="s">
        <v>480</v>
      </c>
      <c r="AH78" s="16"/>
      <c r="AI78" s="16"/>
      <c r="AJ78" s="16"/>
      <c r="AK78" s="16"/>
      <c r="AL78" s="16"/>
      <c r="AM78" s="16"/>
      <c r="AN78" s="16"/>
      <c r="AO78" s="16"/>
    </row>
    <row r="79" ht="15.75" customHeight="1">
      <c r="A79" s="16" t="s">
        <v>543</v>
      </c>
      <c r="B79" s="16" t="s">
        <v>468</v>
      </c>
      <c r="C79" s="16" t="s">
        <v>469</v>
      </c>
      <c r="D79" s="16" t="s">
        <v>544</v>
      </c>
      <c r="E79" s="16" t="s">
        <v>471</v>
      </c>
      <c r="F79" s="16" t="s">
        <v>472</v>
      </c>
      <c r="G79" s="16" t="s">
        <v>87</v>
      </c>
      <c r="H79" s="16" t="s">
        <v>545</v>
      </c>
      <c r="I79" s="16" t="s">
        <v>546</v>
      </c>
      <c r="J79" s="17"/>
      <c r="K79" s="17"/>
      <c r="L79" s="18" t="s">
        <v>547</v>
      </c>
      <c r="M79" s="18" t="s">
        <v>548</v>
      </c>
      <c r="N79" s="16" t="s">
        <v>100</v>
      </c>
      <c r="O79" s="16" t="s">
        <v>81</v>
      </c>
      <c r="P79" s="16" t="s">
        <v>82</v>
      </c>
      <c r="Q79" s="19">
        <v>46146.207316527776</v>
      </c>
      <c r="R79" s="17"/>
      <c r="S79" s="17"/>
      <c r="T79" s="17"/>
      <c r="U79" s="20"/>
      <c r="V79" s="17"/>
      <c r="W79" s="17"/>
      <c r="X79" s="17"/>
      <c r="Y79" s="17"/>
      <c r="Z79" s="17"/>
      <c r="AA79" s="17"/>
      <c r="AB79" s="17"/>
      <c r="AC79" s="17"/>
      <c r="AD79" s="20"/>
      <c r="AE79" s="16" t="s">
        <v>549</v>
      </c>
      <c r="AF79" s="21">
        <v>46146.55186371528</v>
      </c>
      <c r="AG79" s="16" t="s">
        <v>480</v>
      </c>
      <c r="AH79" s="16"/>
      <c r="AI79" s="16"/>
      <c r="AJ79" s="16"/>
      <c r="AK79" s="16"/>
      <c r="AL79" s="16"/>
      <c r="AM79" s="16"/>
      <c r="AN79" s="16"/>
      <c r="AO79" s="16"/>
    </row>
    <row r="80" ht="15.75" customHeight="1">
      <c r="A80" s="16" t="s">
        <v>550</v>
      </c>
      <c r="B80" s="16" t="s">
        <v>468</v>
      </c>
      <c r="C80" s="16" t="s">
        <v>469</v>
      </c>
      <c r="D80" s="16" t="s">
        <v>551</v>
      </c>
      <c r="E80" s="16" t="s">
        <v>471</v>
      </c>
      <c r="F80" s="16" t="s">
        <v>472</v>
      </c>
      <c r="G80" s="16" t="s">
        <v>87</v>
      </c>
      <c r="H80" s="16" t="s">
        <v>552</v>
      </c>
      <c r="I80" s="16" t="s">
        <v>553</v>
      </c>
      <c r="J80" s="17"/>
      <c r="K80" s="16" t="s">
        <v>554</v>
      </c>
      <c r="L80" s="18" t="s">
        <v>555</v>
      </c>
      <c r="M80" s="18" t="s">
        <v>556</v>
      </c>
      <c r="N80" s="16" t="s">
        <v>80</v>
      </c>
      <c r="O80" s="16" t="s">
        <v>81</v>
      </c>
      <c r="P80" s="16" t="s">
        <v>82</v>
      </c>
      <c r="Q80" s="19">
        <v>46146.20539001157</v>
      </c>
      <c r="R80" s="17"/>
      <c r="S80" s="17"/>
      <c r="T80" s="17"/>
      <c r="U80" s="20"/>
      <c r="V80" s="17"/>
      <c r="W80" s="16" t="s">
        <v>554</v>
      </c>
      <c r="X80" s="17"/>
      <c r="Y80" s="17"/>
      <c r="Z80" s="17"/>
      <c r="AA80" s="17"/>
      <c r="AB80" s="17"/>
      <c r="AC80" s="17"/>
      <c r="AD80" s="20"/>
      <c r="AE80" s="16" t="s">
        <v>557</v>
      </c>
      <c r="AF80" s="21">
        <v>46146.55186371528</v>
      </c>
      <c r="AG80" s="16" t="s">
        <v>480</v>
      </c>
      <c r="AH80" s="16"/>
      <c r="AI80" s="16"/>
      <c r="AJ80" s="16"/>
      <c r="AK80" s="16"/>
      <c r="AL80" s="16"/>
      <c r="AM80" s="16"/>
      <c r="AN80" s="16"/>
      <c r="AO80" s="16"/>
    </row>
    <row r="81" ht="15.75" customHeight="1">
      <c r="A81" s="16" t="s">
        <v>558</v>
      </c>
      <c r="B81" s="16" t="s">
        <v>468</v>
      </c>
      <c r="C81" s="16" t="s">
        <v>469</v>
      </c>
      <c r="D81" s="16" t="s">
        <v>559</v>
      </c>
      <c r="E81" s="16" t="s">
        <v>471</v>
      </c>
      <c r="F81" s="16" t="s">
        <v>472</v>
      </c>
      <c r="G81" s="16" t="s">
        <v>87</v>
      </c>
      <c r="H81" s="16" t="s">
        <v>560</v>
      </c>
      <c r="I81" s="16" t="s">
        <v>561</v>
      </c>
      <c r="J81" s="17"/>
      <c r="K81" s="17"/>
      <c r="L81" s="18" t="s">
        <v>562</v>
      </c>
      <c r="M81" s="18" t="s">
        <v>562</v>
      </c>
      <c r="N81" s="16" t="s">
        <v>498</v>
      </c>
      <c r="O81" s="16" t="s">
        <v>101</v>
      </c>
      <c r="P81" s="16" t="s">
        <v>499</v>
      </c>
      <c r="Q81" s="20"/>
      <c r="R81" s="16" t="s">
        <v>500</v>
      </c>
      <c r="S81" s="17"/>
      <c r="T81" s="17"/>
      <c r="U81" s="20"/>
      <c r="V81" s="17"/>
      <c r="W81" s="17"/>
      <c r="X81" s="17"/>
      <c r="Y81" s="17"/>
      <c r="Z81" s="17"/>
      <c r="AA81" s="17"/>
      <c r="AB81" s="17"/>
      <c r="AC81" s="17"/>
      <c r="AD81" s="20"/>
      <c r="AE81" s="16" t="s">
        <v>563</v>
      </c>
      <c r="AF81" s="21">
        <v>46146.55186371528</v>
      </c>
      <c r="AG81" s="16" t="s">
        <v>480</v>
      </c>
      <c r="AH81" s="16"/>
      <c r="AI81" s="16"/>
      <c r="AJ81" s="16"/>
      <c r="AK81" s="16"/>
      <c r="AL81" s="16"/>
      <c r="AM81" s="16"/>
      <c r="AN81" s="16"/>
      <c r="AO81" s="16"/>
    </row>
    <row r="82" ht="15.75" customHeight="1">
      <c r="A82" s="16" t="s">
        <v>564</v>
      </c>
      <c r="B82" s="16" t="s">
        <v>468</v>
      </c>
      <c r="C82" s="16" t="s">
        <v>469</v>
      </c>
      <c r="D82" s="16" t="s">
        <v>565</v>
      </c>
      <c r="E82" s="16" t="s">
        <v>471</v>
      </c>
      <c r="F82" s="16" t="s">
        <v>472</v>
      </c>
      <c r="G82" s="16" t="s">
        <v>87</v>
      </c>
      <c r="H82" s="16" t="s">
        <v>566</v>
      </c>
      <c r="I82" s="16" t="s">
        <v>567</v>
      </c>
      <c r="J82" s="17"/>
      <c r="K82" s="17"/>
      <c r="L82" s="18" t="s">
        <v>568</v>
      </c>
      <c r="M82" s="18" t="s">
        <v>569</v>
      </c>
      <c r="N82" s="16" t="s">
        <v>498</v>
      </c>
      <c r="O82" s="16" t="s">
        <v>101</v>
      </c>
      <c r="P82" s="16" t="s">
        <v>499</v>
      </c>
      <c r="Q82" s="20"/>
      <c r="R82" s="16" t="s">
        <v>500</v>
      </c>
      <c r="S82" s="17"/>
      <c r="T82" s="17"/>
      <c r="U82" s="20"/>
      <c r="V82" s="17"/>
      <c r="W82" s="17"/>
      <c r="X82" s="17"/>
      <c r="Y82" s="17"/>
      <c r="Z82" s="17"/>
      <c r="AA82" s="17"/>
      <c r="AB82" s="17"/>
      <c r="AC82" s="17"/>
      <c r="AD82" s="20"/>
      <c r="AE82" s="16" t="s">
        <v>570</v>
      </c>
      <c r="AF82" s="21">
        <v>46146.55186371528</v>
      </c>
      <c r="AG82" s="16" t="s">
        <v>480</v>
      </c>
      <c r="AH82" s="16"/>
      <c r="AI82" s="16"/>
      <c r="AJ82" s="16"/>
      <c r="AK82" s="16"/>
      <c r="AL82" s="16"/>
      <c r="AM82" s="16"/>
      <c r="AN82" s="16"/>
      <c r="AO82" s="16"/>
    </row>
    <row r="83" ht="15.75" customHeight="1">
      <c r="A83" s="16" t="s">
        <v>571</v>
      </c>
      <c r="B83" s="16" t="s">
        <v>468</v>
      </c>
      <c r="C83" s="16" t="s">
        <v>469</v>
      </c>
      <c r="D83" s="16" t="s">
        <v>572</v>
      </c>
      <c r="E83" s="16" t="s">
        <v>471</v>
      </c>
      <c r="F83" s="16" t="s">
        <v>472</v>
      </c>
      <c r="G83" s="16" t="s">
        <v>573</v>
      </c>
      <c r="H83" s="16" t="s">
        <v>574</v>
      </c>
      <c r="I83" s="16" t="s">
        <v>575</v>
      </c>
      <c r="J83" s="17"/>
      <c r="K83" s="16" t="s">
        <v>576</v>
      </c>
      <c r="L83" s="18" t="s">
        <v>577</v>
      </c>
      <c r="M83" s="18" t="s">
        <v>577</v>
      </c>
      <c r="N83" s="16" t="s">
        <v>100</v>
      </c>
      <c r="O83" s="16" t="s">
        <v>81</v>
      </c>
      <c r="P83" s="16" t="s">
        <v>82</v>
      </c>
      <c r="Q83" s="19">
        <v>46146.20751840278</v>
      </c>
      <c r="R83" s="17"/>
      <c r="S83" s="17"/>
      <c r="T83" s="17"/>
      <c r="U83" s="20"/>
      <c r="V83" s="17"/>
      <c r="W83" s="16" t="s">
        <v>576</v>
      </c>
      <c r="X83" s="17"/>
      <c r="Y83" s="17"/>
      <c r="Z83" s="17"/>
      <c r="AA83" s="17"/>
      <c r="AB83" s="17"/>
      <c r="AC83" s="17"/>
      <c r="AD83" s="20"/>
      <c r="AE83" s="16" t="s">
        <v>578</v>
      </c>
      <c r="AF83" s="21">
        <v>46146.55186371528</v>
      </c>
      <c r="AG83" s="16" t="s">
        <v>480</v>
      </c>
      <c r="AH83" s="16"/>
      <c r="AI83" s="16"/>
      <c r="AJ83" s="16"/>
      <c r="AK83" s="16"/>
      <c r="AL83" s="16"/>
      <c r="AM83" s="16"/>
      <c r="AN83" s="16"/>
      <c r="AO83" s="16"/>
    </row>
    <row r="84" ht="15.75" customHeight="1">
      <c r="A84" s="16" t="s">
        <v>579</v>
      </c>
      <c r="B84" s="16" t="s">
        <v>468</v>
      </c>
      <c r="C84" s="16" t="s">
        <v>469</v>
      </c>
      <c r="D84" s="16" t="s">
        <v>580</v>
      </c>
      <c r="E84" s="16" t="s">
        <v>471</v>
      </c>
      <c r="F84" s="16" t="s">
        <v>472</v>
      </c>
      <c r="G84" s="16" t="s">
        <v>87</v>
      </c>
      <c r="H84" s="16" t="s">
        <v>581</v>
      </c>
      <c r="I84" s="16" t="s">
        <v>582</v>
      </c>
      <c r="J84" s="17"/>
      <c r="K84" s="17"/>
      <c r="L84" s="18" t="s">
        <v>583</v>
      </c>
      <c r="M84" s="18" t="s">
        <v>584</v>
      </c>
      <c r="N84" s="16" t="s">
        <v>166</v>
      </c>
      <c r="O84" s="16" t="s">
        <v>81</v>
      </c>
      <c r="P84" s="16" t="s">
        <v>82</v>
      </c>
      <c r="Q84" s="19">
        <v>46146.20448114583</v>
      </c>
      <c r="R84" s="17"/>
      <c r="S84" s="17"/>
      <c r="T84" s="16" t="s">
        <v>297</v>
      </c>
      <c r="U84" s="19">
        <v>46149.02803240741</v>
      </c>
      <c r="V84" s="6" t="s">
        <v>585</v>
      </c>
      <c r="W84" s="17"/>
      <c r="X84" s="16" t="s">
        <v>586</v>
      </c>
      <c r="Y84" s="16" t="s">
        <v>587</v>
      </c>
      <c r="Z84" s="16" t="s">
        <v>588</v>
      </c>
      <c r="AA84" s="17"/>
      <c r="AB84" s="17"/>
      <c r="AC84" s="16" t="s">
        <v>300</v>
      </c>
      <c r="AD84" s="19">
        <v>46149.051649375004</v>
      </c>
      <c r="AE84" s="16" t="s">
        <v>589</v>
      </c>
      <c r="AF84" s="21">
        <v>46146.55186371528</v>
      </c>
      <c r="AG84" s="16" t="s">
        <v>480</v>
      </c>
      <c r="AH84" s="16" t="s">
        <v>590</v>
      </c>
      <c r="AI84" s="16" t="s">
        <v>582</v>
      </c>
      <c r="AJ84" s="16"/>
      <c r="AK84" s="16"/>
      <c r="AL84" s="16"/>
      <c r="AM84" s="16"/>
      <c r="AN84" s="16" t="s">
        <v>591</v>
      </c>
      <c r="AO84" s="16"/>
    </row>
    <row r="85" ht="15.75" customHeight="1">
      <c r="A85" s="16" t="s">
        <v>592</v>
      </c>
      <c r="B85" s="16" t="s">
        <v>468</v>
      </c>
      <c r="C85" s="16" t="s">
        <v>469</v>
      </c>
      <c r="D85" s="16" t="s">
        <v>593</v>
      </c>
      <c r="E85" s="16" t="s">
        <v>471</v>
      </c>
      <c r="F85" s="16" t="s">
        <v>472</v>
      </c>
      <c r="G85" s="16" t="s">
        <v>87</v>
      </c>
      <c r="H85" s="16" t="s">
        <v>594</v>
      </c>
      <c r="I85" s="16" t="s">
        <v>595</v>
      </c>
      <c r="J85" s="17"/>
      <c r="K85" s="17"/>
      <c r="L85" s="18" t="s">
        <v>596</v>
      </c>
      <c r="M85" s="18" t="s">
        <v>597</v>
      </c>
      <c r="N85" s="16" t="s">
        <v>100</v>
      </c>
      <c r="O85" s="16" t="s">
        <v>81</v>
      </c>
      <c r="P85" s="16" t="s">
        <v>82</v>
      </c>
      <c r="Q85" s="19">
        <v>46146.20726447916</v>
      </c>
      <c r="R85" s="17"/>
      <c r="S85" s="17"/>
      <c r="T85" s="17"/>
      <c r="U85" s="20"/>
      <c r="V85" s="17"/>
      <c r="W85" s="17"/>
      <c r="X85" s="17"/>
      <c r="Y85" s="17"/>
      <c r="Z85" s="17"/>
      <c r="AA85" s="17"/>
      <c r="AB85" s="17"/>
      <c r="AC85" s="17"/>
      <c r="AD85" s="20"/>
      <c r="AE85" s="16" t="s">
        <v>598</v>
      </c>
      <c r="AF85" s="21">
        <v>46146.55186371528</v>
      </c>
      <c r="AG85" s="16" t="s">
        <v>480</v>
      </c>
      <c r="AH85" s="16"/>
      <c r="AI85" s="16"/>
      <c r="AJ85" s="16"/>
      <c r="AK85" s="16"/>
      <c r="AL85" s="16"/>
      <c r="AM85" s="16"/>
      <c r="AN85" s="16"/>
      <c r="AO85" s="16"/>
    </row>
    <row r="86" ht="15.75" customHeight="1">
      <c r="A86" s="16" t="s">
        <v>599</v>
      </c>
      <c r="B86" s="16" t="s">
        <v>468</v>
      </c>
      <c r="C86" s="16" t="s">
        <v>469</v>
      </c>
      <c r="D86" s="16" t="s">
        <v>600</v>
      </c>
      <c r="E86" s="16" t="s">
        <v>471</v>
      </c>
      <c r="F86" s="16" t="s">
        <v>472</v>
      </c>
      <c r="G86" s="16" t="s">
        <v>87</v>
      </c>
      <c r="H86" s="16" t="s">
        <v>601</v>
      </c>
      <c r="I86" s="16" t="s">
        <v>602</v>
      </c>
      <c r="J86" s="17"/>
      <c r="K86" s="6">
        <v>6.99741885E8</v>
      </c>
      <c r="L86" s="18" t="s">
        <v>603</v>
      </c>
      <c r="M86" s="18" t="s">
        <v>604</v>
      </c>
      <c r="N86" s="16" t="s">
        <v>80</v>
      </c>
      <c r="O86" s="16" t="s">
        <v>81</v>
      </c>
      <c r="P86" s="16" t="s">
        <v>82</v>
      </c>
      <c r="Q86" s="19">
        <v>46146.20606283565</v>
      </c>
      <c r="R86" s="17"/>
      <c r="S86" s="17"/>
      <c r="T86" s="16" t="s">
        <v>297</v>
      </c>
      <c r="U86" s="22">
        <v>46147.0</v>
      </c>
      <c r="V86" s="6" t="s">
        <v>605</v>
      </c>
      <c r="W86" s="6">
        <v>6.99741885E8</v>
      </c>
      <c r="X86" s="16" t="s">
        <v>606</v>
      </c>
      <c r="Y86" s="16" t="s">
        <v>607</v>
      </c>
      <c r="Z86" s="16" t="s">
        <v>608</v>
      </c>
      <c r="AA86" s="17"/>
      <c r="AB86" s="17"/>
      <c r="AC86" s="6" t="s">
        <v>609</v>
      </c>
      <c r="AD86" s="22">
        <v>46148.0</v>
      </c>
      <c r="AE86" s="16" t="s">
        <v>610</v>
      </c>
      <c r="AF86" s="21">
        <v>46146.55186371528</v>
      </c>
      <c r="AG86" s="16" t="s">
        <v>480</v>
      </c>
      <c r="AH86" s="16"/>
      <c r="AI86" s="16" t="s">
        <v>611</v>
      </c>
      <c r="AJ86" s="16" t="s">
        <v>297</v>
      </c>
      <c r="AK86" s="16"/>
      <c r="AL86" s="16"/>
      <c r="AM86" s="16" t="s">
        <v>21</v>
      </c>
      <c r="AN86" s="16" t="s">
        <v>303</v>
      </c>
      <c r="AO86" s="16" t="s">
        <v>304</v>
      </c>
    </row>
    <row r="87" ht="15.75" customHeight="1">
      <c r="A87" s="16" t="s">
        <v>612</v>
      </c>
      <c r="B87" s="16" t="s">
        <v>468</v>
      </c>
      <c r="C87" s="16" t="s">
        <v>469</v>
      </c>
      <c r="D87" s="16" t="s">
        <v>613</v>
      </c>
      <c r="E87" s="16" t="s">
        <v>471</v>
      </c>
      <c r="F87" s="16" t="s">
        <v>472</v>
      </c>
      <c r="G87" s="16" t="s">
        <v>614</v>
      </c>
      <c r="H87" s="17"/>
      <c r="I87" s="16" t="s">
        <v>615</v>
      </c>
      <c r="J87" s="17"/>
      <c r="K87" s="16" t="s">
        <v>616</v>
      </c>
      <c r="L87" s="18" t="s">
        <v>617</v>
      </c>
      <c r="M87" s="18" t="s">
        <v>617</v>
      </c>
      <c r="N87" s="16" t="s">
        <v>80</v>
      </c>
      <c r="O87" s="16" t="s">
        <v>81</v>
      </c>
      <c r="P87" s="16" t="s">
        <v>82</v>
      </c>
      <c r="Q87" s="19">
        <v>46146.20708255787</v>
      </c>
      <c r="R87" s="17"/>
      <c r="S87" s="17"/>
      <c r="T87" s="17"/>
      <c r="U87" s="20"/>
      <c r="V87" s="17"/>
      <c r="W87" s="16" t="s">
        <v>616</v>
      </c>
      <c r="X87" s="17"/>
      <c r="Y87" s="17"/>
      <c r="Z87" s="17"/>
      <c r="AA87" s="17"/>
      <c r="AB87" s="17"/>
      <c r="AC87" s="17"/>
      <c r="AD87" s="20"/>
      <c r="AE87" s="16" t="s">
        <v>618</v>
      </c>
      <c r="AF87" s="21">
        <v>46146.55186371528</v>
      </c>
      <c r="AG87" s="16" t="s">
        <v>480</v>
      </c>
      <c r="AH87" s="16"/>
      <c r="AI87" s="16"/>
      <c r="AJ87" s="16"/>
      <c r="AK87" s="16"/>
      <c r="AL87" s="16"/>
      <c r="AM87" s="16"/>
      <c r="AN87" s="16"/>
      <c r="AO87" s="16"/>
    </row>
    <row r="88" ht="15.75" customHeight="1">
      <c r="A88" s="16" t="s">
        <v>619</v>
      </c>
      <c r="B88" s="16" t="s">
        <v>468</v>
      </c>
      <c r="C88" s="16" t="s">
        <v>469</v>
      </c>
      <c r="D88" s="16" t="s">
        <v>620</v>
      </c>
      <c r="E88" s="16" t="s">
        <v>471</v>
      </c>
      <c r="F88" s="16" t="s">
        <v>472</v>
      </c>
      <c r="G88" s="16" t="s">
        <v>621</v>
      </c>
      <c r="H88" s="16" t="s">
        <v>622</v>
      </c>
      <c r="I88" s="16" t="s">
        <v>623</v>
      </c>
      <c r="J88" s="17"/>
      <c r="K88" s="16" t="s">
        <v>624</v>
      </c>
      <c r="L88" s="18" t="s">
        <v>625</v>
      </c>
      <c r="M88" s="18" t="s">
        <v>625</v>
      </c>
      <c r="N88" s="16" t="s">
        <v>100</v>
      </c>
      <c r="O88" s="16" t="s">
        <v>81</v>
      </c>
      <c r="P88" s="16" t="s">
        <v>82</v>
      </c>
      <c r="Q88" s="19">
        <v>46146.207550983796</v>
      </c>
      <c r="R88" s="17"/>
      <c r="S88" s="17"/>
      <c r="T88" s="17"/>
      <c r="U88" s="20"/>
      <c r="V88" s="17"/>
      <c r="W88" s="16" t="s">
        <v>624</v>
      </c>
      <c r="X88" s="17"/>
      <c r="Y88" s="17"/>
      <c r="Z88" s="17"/>
      <c r="AA88" s="17"/>
      <c r="AB88" s="17"/>
      <c r="AC88" s="17"/>
      <c r="AD88" s="20"/>
      <c r="AE88" s="16" t="s">
        <v>626</v>
      </c>
      <c r="AF88" s="21">
        <v>46146.55186371528</v>
      </c>
      <c r="AG88" s="16" t="s">
        <v>480</v>
      </c>
      <c r="AH88" s="16"/>
      <c r="AI88" s="16"/>
      <c r="AJ88" s="16"/>
      <c r="AK88" s="16"/>
      <c r="AL88" s="16"/>
      <c r="AM88" s="16"/>
      <c r="AN88" s="16"/>
      <c r="AO88" s="16"/>
    </row>
    <row r="89" ht="15.75" customHeight="1">
      <c r="A89" s="16" t="s">
        <v>627</v>
      </c>
      <c r="B89" s="16" t="s">
        <v>468</v>
      </c>
      <c r="C89" s="16" t="s">
        <v>469</v>
      </c>
      <c r="D89" s="16" t="s">
        <v>628</v>
      </c>
      <c r="E89" s="16" t="s">
        <v>471</v>
      </c>
      <c r="F89" s="16" t="s">
        <v>472</v>
      </c>
      <c r="G89" s="16" t="s">
        <v>87</v>
      </c>
      <c r="H89" s="17"/>
      <c r="I89" s="16" t="s">
        <v>629</v>
      </c>
      <c r="J89" s="17"/>
      <c r="K89" s="6">
        <v>6.77606742E8</v>
      </c>
      <c r="L89" s="18" t="s">
        <v>630</v>
      </c>
      <c r="M89" s="18" t="s">
        <v>631</v>
      </c>
      <c r="N89" s="16" t="s">
        <v>80</v>
      </c>
      <c r="O89" s="16" t="s">
        <v>81</v>
      </c>
      <c r="P89" s="16" t="s">
        <v>82</v>
      </c>
      <c r="Q89" s="19">
        <v>46146.206065439816</v>
      </c>
      <c r="R89" s="17"/>
      <c r="S89" s="17"/>
      <c r="T89" s="16" t="s">
        <v>297</v>
      </c>
      <c r="U89" s="22">
        <v>46147.0</v>
      </c>
      <c r="V89" s="6" t="s">
        <v>632</v>
      </c>
      <c r="W89" s="6">
        <v>6.77606742E8</v>
      </c>
      <c r="X89" s="16" t="s">
        <v>606</v>
      </c>
      <c r="Y89" s="6" t="s">
        <v>633</v>
      </c>
      <c r="Z89" s="16" t="s">
        <v>634</v>
      </c>
      <c r="AA89" s="16" t="s">
        <v>635</v>
      </c>
      <c r="AB89" s="17"/>
      <c r="AC89" s="16" t="s">
        <v>636</v>
      </c>
      <c r="AD89" s="19">
        <v>46148.0</v>
      </c>
      <c r="AE89" s="16" t="s">
        <v>637</v>
      </c>
      <c r="AF89" s="21">
        <v>46146.55186371528</v>
      </c>
      <c r="AG89" s="16" t="s">
        <v>480</v>
      </c>
      <c r="AH89" s="16"/>
      <c r="AI89" s="18" t="s">
        <v>638</v>
      </c>
      <c r="AJ89" s="16"/>
      <c r="AK89" s="16"/>
      <c r="AL89" s="16"/>
      <c r="AM89" s="16"/>
      <c r="AN89" s="16" t="s">
        <v>639</v>
      </c>
      <c r="AO89" s="16"/>
    </row>
    <row r="90" ht="15.75" customHeight="1">
      <c r="A90" s="16" t="s">
        <v>640</v>
      </c>
      <c r="B90" s="16" t="s">
        <v>468</v>
      </c>
      <c r="C90" s="16" t="s">
        <v>469</v>
      </c>
      <c r="D90" s="16" t="s">
        <v>641</v>
      </c>
      <c r="E90" s="16" t="s">
        <v>471</v>
      </c>
      <c r="F90" s="16" t="s">
        <v>472</v>
      </c>
      <c r="G90" s="16" t="s">
        <v>642</v>
      </c>
      <c r="H90" s="17"/>
      <c r="I90" s="16" t="s">
        <v>643</v>
      </c>
      <c r="J90" s="17"/>
      <c r="K90" s="16" t="s">
        <v>644</v>
      </c>
      <c r="L90" s="18" t="s">
        <v>645</v>
      </c>
      <c r="M90" s="18" t="s">
        <v>645</v>
      </c>
      <c r="N90" s="16" t="s">
        <v>166</v>
      </c>
      <c r="O90" s="16" t="s">
        <v>81</v>
      </c>
      <c r="P90" s="16" t="s">
        <v>82</v>
      </c>
      <c r="Q90" s="19">
        <v>46146.20459149306</v>
      </c>
      <c r="R90" s="17"/>
      <c r="S90" s="17"/>
      <c r="T90" s="17"/>
      <c r="U90" s="20"/>
      <c r="V90" s="17"/>
      <c r="W90" s="16" t="s">
        <v>644</v>
      </c>
      <c r="X90" s="17"/>
      <c r="Y90" s="17"/>
      <c r="Z90" s="17"/>
      <c r="AA90" s="17"/>
      <c r="AB90" s="17"/>
      <c r="AC90" s="17"/>
      <c r="AD90" s="20"/>
      <c r="AE90" s="16" t="s">
        <v>646</v>
      </c>
      <c r="AF90" s="21">
        <v>46146.55186371528</v>
      </c>
      <c r="AG90" s="16" t="s">
        <v>480</v>
      </c>
      <c r="AH90" s="16"/>
      <c r="AI90" s="16"/>
      <c r="AJ90" s="16"/>
      <c r="AK90" s="16"/>
      <c r="AL90" s="16"/>
      <c r="AM90" s="16"/>
      <c r="AN90" s="16"/>
      <c r="AO90" s="16"/>
    </row>
    <row r="91" ht="15.75" customHeight="1">
      <c r="A91" s="16" t="s">
        <v>647</v>
      </c>
      <c r="B91" s="16" t="s">
        <v>468</v>
      </c>
      <c r="C91" s="16" t="s">
        <v>469</v>
      </c>
      <c r="D91" s="16" t="s">
        <v>648</v>
      </c>
      <c r="E91" s="16" t="s">
        <v>471</v>
      </c>
      <c r="F91" s="16" t="s">
        <v>472</v>
      </c>
      <c r="G91" s="16" t="s">
        <v>614</v>
      </c>
      <c r="H91" s="17"/>
      <c r="I91" s="16" t="s">
        <v>649</v>
      </c>
      <c r="J91" s="17"/>
      <c r="K91" s="16" t="s">
        <v>650</v>
      </c>
      <c r="L91" s="18" t="s">
        <v>651</v>
      </c>
      <c r="M91" s="18" t="s">
        <v>651</v>
      </c>
      <c r="N91" s="16" t="s">
        <v>100</v>
      </c>
      <c r="O91" s="16" t="s">
        <v>81</v>
      </c>
      <c r="P91" s="16" t="s">
        <v>82</v>
      </c>
      <c r="Q91" s="19">
        <v>46146.207513587964</v>
      </c>
      <c r="R91" s="17"/>
      <c r="S91" s="17"/>
      <c r="T91" s="17"/>
      <c r="U91" s="20"/>
      <c r="V91" s="17"/>
      <c r="W91" s="16" t="s">
        <v>650</v>
      </c>
      <c r="X91" s="17"/>
      <c r="Y91" s="17"/>
      <c r="Z91" s="17"/>
      <c r="AA91" s="17"/>
      <c r="AB91" s="17"/>
      <c r="AC91" s="17"/>
      <c r="AD91" s="20"/>
      <c r="AE91" s="16" t="s">
        <v>652</v>
      </c>
      <c r="AF91" s="21">
        <v>46146.55186371528</v>
      </c>
      <c r="AG91" s="16" t="s">
        <v>480</v>
      </c>
      <c r="AH91" s="16"/>
      <c r="AI91" s="16"/>
      <c r="AJ91" s="16"/>
      <c r="AK91" s="16"/>
      <c r="AL91" s="16"/>
      <c r="AM91" s="16"/>
      <c r="AN91" s="16"/>
      <c r="AO91" s="16"/>
    </row>
    <row r="92" ht="15.75" customHeight="1">
      <c r="A92" s="16" t="s">
        <v>653</v>
      </c>
      <c r="B92" s="16" t="s">
        <v>468</v>
      </c>
      <c r="C92" s="16" t="s">
        <v>469</v>
      </c>
      <c r="D92" s="16" t="s">
        <v>654</v>
      </c>
      <c r="E92" s="16" t="s">
        <v>471</v>
      </c>
      <c r="F92" s="16" t="s">
        <v>472</v>
      </c>
      <c r="G92" s="16" t="s">
        <v>87</v>
      </c>
      <c r="H92" s="16" t="s">
        <v>655</v>
      </c>
      <c r="I92" s="16" t="s">
        <v>656</v>
      </c>
      <c r="J92" s="17"/>
      <c r="K92" s="17"/>
      <c r="L92" s="18" t="s">
        <v>657</v>
      </c>
      <c r="M92" s="18" t="s">
        <v>658</v>
      </c>
      <c r="N92" s="16" t="s">
        <v>80</v>
      </c>
      <c r="O92" s="16" t="s">
        <v>81</v>
      </c>
      <c r="P92" s="16" t="s">
        <v>82</v>
      </c>
      <c r="Q92" s="19">
        <v>46146.206068472224</v>
      </c>
      <c r="R92" s="17"/>
      <c r="S92" s="17"/>
      <c r="T92" s="17"/>
      <c r="U92" s="20"/>
      <c r="V92" s="17"/>
      <c r="W92" s="17"/>
      <c r="X92" s="17"/>
      <c r="Y92" s="17"/>
      <c r="Z92" s="17"/>
      <c r="AA92" s="17"/>
      <c r="AB92" s="17"/>
      <c r="AC92" s="17"/>
      <c r="AD92" s="20"/>
      <c r="AE92" s="16" t="s">
        <v>659</v>
      </c>
      <c r="AF92" s="21">
        <v>46146.55186371528</v>
      </c>
      <c r="AG92" s="16" t="s">
        <v>480</v>
      </c>
      <c r="AH92" s="16"/>
      <c r="AI92" s="16"/>
      <c r="AJ92" s="16"/>
      <c r="AK92" s="16"/>
      <c r="AL92" s="16"/>
      <c r="AM92" s="16"/>
      <c r="AN92" s="16"/>
      <c r="AO92" s="16"/>
    </row>
    <row r="93" ht="15.75" customHeight="1">
      <c r="A93" s="16" t="s">
        <v>660</v>
      </c>
      <c r="B93" s="16" t="s">
        <v>468</v>
      </c>
      <c r="C93" s="16" t="s">
        <v>469</v>
      </c>
      <c r="D93" s="16" t="s">
        <v>661</v>
      </c>
      <c r="E93" s="16" t="s">
        <v>471</v>
      </c>
      <c r="F93" s="16" t="s">
        <v>472</v>
      </c>
      <c r="G93" s="16" t="s">
        <v>662</v>
      </c>
      <c r="H93" s="16" t="s">
        <v>663</v>
      </c>
      <c r="I93" s="16" t="s">
        <v>664</v>
      </c>
      <c r="J93" s="17"/>
      <c r="K93" s="16" t="s">
        <v>665</v>
      </c>
      <c r="L93" s="18" t="s">
        <v>666</v>
      </c>
      <c r="M93" s="18" t="s">
        <v>666</v>
      </c>
      <c r="N93" s="16" t="s">
        <v>80</v>
      </c>
      <c r="O93" s="16" t="s">
        <v>81</v>
      </c>
      <c r="P93" s="16" t="s">
        <v>82</v>
      </c>
      <c r="Q93" s="19">
        <v>46146.207033541665</v>
      </c>
      <c r="R93" s="17"/>
      <c r="S93" s="17"/>
      <c r="T93" s="16" t="s">
        <v>297</v>
      </c>
      <c r="U93" s="19">
        <v>46146.36723379629</v>
      </c>
      <c r="V93" s="16" t="s">
        <v>667</v>
      </c>
      <c r="W93" s="16" t="s">
        <v>665</v>
      </c>
      <c r="X93" s="16" t="s">
        <v>299</v>
      </c>
      <c r="Y93" s="17"/>
      <c r="Z93" s="17"/>
      <c r="AA93" s="17"/>
      <c r="AB93" s="17"/>
      <c r="AC93" s="16" t="s">
        <v>300</v>
      </c>
      <c r="AD93" s="19">
        <v>46147.619277164355</v>
      </c>
      <c r="AE93" s="16" t="s">
        <v>668</v>
      </c>
      <c r="AF93" s="21">
        <v>46146.55186371528</v>
      </c>
      <c r="AG93" s="16" t="s">
        <v>480</v>
      </c>
      <c r="AH93" s="16" t="s">
        <v>669</v>
      </c>
      <c r="AI93" s="16" t="s">
        <v>664</v>
      </c>
      <c r="AJ93" s="16" t="s">
        <v>297</v>
      </c>
      <c r="AK93" s="16"/>
      <c r="AL93" s="16"/>
      <c r="AM93" s="16" t="s">
        <v>18</v>
      </c>
      <c r="AN93" s="16" t="s">
        <v>303</v>
      </c>
      <c r="AO93" s="16" t="s">
        <v>304</v>
      </c>
    </row>
    <row r="94" ht="15.75" customHeight="1">
      <c r="A94" s="16" t="s">
        <v>670</v>
      </c>
      <c r="B94" s="16" t="s">
        <v>468</v>
      </c>
      <c r="C94" s="16" t="s">
        <v>469</v>
      </c>
      <c r="D94" s="16" t="s">
        <v>671</v>
      </c>
      <c r="E94" s="16" t="s">
        <v>471</v>
      </c>
      <c r="F94" s="16" t="s">
        <v>472</v>
      </c>
      <c r="G94" s="16" t="s">
        <v>87</v>
      </c>
      <c r="H94" s="16" t="s">
        <v>672</v>
      </c>
      <c r="I94" s="16" t="s">
        <v>673</v>
      </c>
      <c r="J94" s="17"/>
      <c r="K94" s="17"/>
      <c r="L94" s="18" t="s">
        <v>674</v>
      </c>
      <c r="M94" s="18" t="s">
        <v>675</v>
      </c>
      <c r="N94" s="16" t="s">
        <v>80</v>
      </c>
      <c r="O94" s="16" t="s">
        <v>81</v>
      </c>
      <c r="P94" s="16" t="s">
        <v>82</v>
      </c>
      <c r="Q94" s="19">
        <v>46146.206073611116</v>
      </c>
      <c r="R94" s="17"/>
      <c r="S94" s="17"/>
      <c r="T94" s="17"/>
      <c r="U94" s="20"/>
      <c r="V94" s="17"/>
      <c r="W94" s="17"/>
      <c r="X94" s="17"/>
      <c r="Y94" s="17"/>
      <c r="Z94" s="17"/>
      <c r="AA94" s="17"/>
      <c r="AB94" s="17"/>
      <c r="AC94" s="17"/>
      <c r="AD94" s="20"/>
      <c r="AE94" s="16" t="s">
        <v>676</v>
      </c>
      <c r="AF94" s="21">
        <v>46146.55186371528</v>
      </c>
      <c r="AG94" s="16" t="s">
        <v>480</v>
      </c>
      <c r="AH94" s="16"/>
      <c r="AI94" s="16"/>
      <c r="AJ94" s="16"/>
      <c r="AK94" s="16"/>
      <c r="AL94" s="16"/>
      <c r="AM94" s="16"/>
      <c r="AN94" s="16"/>
      <c r="AO94" s="16"/>
    </row>
    <row r="95" ht="15.75" customHeight="1">
      <c r="A95" s="16" t="s">
        <v>677</v>
      </c>
      <c r="B95" s="16" t="s">
        <v>468</v>
      </c>
      <c r="C95" s="16" t="s">
        <v>469</v>
      </c>
      <c r="D95" s="16" t="s">
        <v>678</v>
      </c>
      <c r="E95" s="16" t="s">
        <v>471</v>
      </c>
      <c r="F95" s="16" t="s">
        <v>472</v>
      </c>
      <c r="G95" s="16" t="s">
        <v>87</v>
      </c>
      <c r="H95" s="17"/>
      <c r="I95" s="16" t="s">
        <v>679</v>
      </c>
      <c r="J95" s="17"/>
      <c r="K95" s="17"/>
      <c r="L95" s="18" t="s">
        <v>680</v>
      </c>
      <c r="M95" s="18" t="s">
        <v>680</v>
      </c>
      <c r="N95" s="16" t="s">
        <v>80</v>
      </c>
      <c r="O95" s="16" t="s">
        <v>81</v>
      </c>
      <c r="P95" s="16" t="s">
        <v>82</v>
      </c>
      <c r="Q95" s="19">
        <v>46146.206122881944</v>
      </c>
      <c r="R95" s="17"/>
      <c r="S95" s="17"/>
      <c r="T95" s="17"/>
      <c r="U95" s="20"/>
      <c r="V95" s="17"/>
      <c r="W95" s="17"/>
      <c r="X95" s="17"/>
      <c r="Y95" s="17"/>
      <c r="Z95" s="17"/>
      <c r="AA95" s="17"/>
      <c r="AB95" s="17"/>
      <c r="AC95" s="17"/>
      <c r="AD95" s="20"/>
      <c r="AE95" s="16" t="s">
        <v>681</v>
      </c>
      <c r="AF95" s="21">
        <v>46146.55186371528</v>
      </c>
      <c r="AG95" s="16" t="s">
        <v>480</v>
      </c>
      <c r="AH95" s="16"/>
      <c r="AI95" s="16"/>
      <c r="AJ95" s="16"/>
      <c r="AK95" s="16"/>
      <c r="AL95" s="16"/>
      <c r="AM95" s="16"/>
      <c r="AN95" s="16"/>
      <c r="AO95" s="16"/>
    </row>
    <row r="96" ht="15.75" customHeight="1">
      <c r="A96" s="16" t="s">
        <v>682</v>
      </c>
      <c r="B96" s="16" t="s">
        <v>468</v>
      </c>
      <c r="C96" s="16" t="s">
        <v>469</v>
      </c>
      <c r="D96" s="16" t="s">
        <v>683</v>
      </c>
      <c r="E96" s="16" t="s">
        <v>471</v>
      </c>
      <c r="F96" s="16" t="s">
        <v>472</v>
      </c>
      <c r="G96" s="16" t="s">
        <v>614</v>
      </c>
      <c r="H96" s="17"/>
      <c r="I96" s="16" t="s">
        <v>684</v>
      </c>
      <c r="J96" s="17"/>
      <c r="K96" s="16" t="s">
        <v>685</v>
      </c>
      <c r="L96" s="18" t="s">
        <v>686</v>
      </c>
      <c r="M96" s="18" t="s">
        <v>686</v>
      </c>
      <c r="N96" s="16" t="s">
        <v>100</v>
      </c>
      <c r="O96" s="16" t="s">
        <v>81</v>
      </c>
      <c r="P96" s="16" t="s">
        <v>82</v>
      </c>
      <c r="Q96" s="19">
        <v>46146.207515601855</v>
      </c>
      <c r="R96" s="17"/>
      <c r="S96" s="17"/>
      <c r="T96" s="17"/>
      <c r="U96" s="20"/>
      <c r="V96" s="17"/>
      <c r="W96" s="16" t="s">
        <v>685</v>
      </c>
      <c r="X96" s="17"/>
      <c r="Y96" s="17"/>
      <c r="Z96" s="17"/>
      <c r="AA96" s="17"/>
      <c r="AB96" s="17"/>
      <c r="AC96" s="17"/>
      <c r="AD96" s="20"/>
      <c r="AE96" s="16" t="s">
        <v>652</v>
      </c>
      <c r="AF96" s="21">
        <v>46146.55186371528</v>
      </c>
      <c r="AG96" s="16" t="s">
        <v>480</v>
      </c>
      <c r="AH96" s="16"/>
      <c r="AI96" s="16"/>
      <c r="AJ96" s="16"/>
      <c r="AK96" s="16"/>
      <c r="AL96" s="16"/>
      <c r="AM96" s="16"/>
      <c r="AN96" s="16"/>
      <c r="AO96" s="16"/>
    </row>
    <row r="97" ht="15.75" customHeight="1">
      <c r="A97" s="16" t="s">
        <v>687</v>
      </c>
      <c r="B97" s="16" t="s">
        <v>468</v>
      </c>
      <c r="C97" s="16" t="s">
        <v>469</v>
      </c>
      <c r="D97" s="16" t="s">
        <v>688</v>
      </c>
      <c r="E97" s="16" t="s">
        <v>471</v>
      </c>
      <c r="F97" s="16" t="s">
        <v>472</v>
      </c>
      <c r="G97" s="16" t="s">
        <v>689</v>
      </c>
      <c r="H97" s="16" t="s">
        <v>690</v>
      </c>
      <c r="I97" s="16" t="s">
        <v>691</v>
      </c>
      <c r="J97" s="17"/>
      <c r="K97" s="16" t="s">
        <v>692</v>
      </c>
      <c r="L97" s="18" t="s">
        <v>693</v>
      </c>
      <c r="M97" s="18" t="s">
        <v>694</v>
      </c>
      <c r="N97" s="16" t="s">
        <v>80</v>
      </c>
      <c r="O97" s="16" t="s">
        <v>81</v>
      </c>
      <c r="P97" s="16" t="s">
        <v>82</v>
      </c>
      <c r="Q97" s="19">
        <v>46146.20702802083</v>
      </c>
      <c r="R97" s="17"/>
      <c r="S97" s="17"/>
      <c r="T97" s="17"/>
      <c r="U97" s="20"/>
      <c r="V97" s="17"/>
      <c r="W97" s="16" t="s">
        <v>692</v>
      </c>
      <c r="X97" s="17"/>
      <c r="Y97" s="17"/>
      <c r="Z97" s="17"/>
      <c r="AA97" s="17"/>
      <c r="AB97" s="17"/>
      <c r="AC97" s="17"/>
      <c r="AD97" s="20"/>
      <c r="AE97" s="16" t="s">
        <v>695</v>
      </c>
      <c r="AF97" s="21">
        <v>46146.55186371528</v>
      </c>
      <c r="AG97" s="16" t="s">
        <v>480</v>
      </c>
      <c r="AH97" s="16"/>
      <c r="AI97" s="16"/>
      <c r="AJ97" s="16"/>
      <c r="AK97" s="16"/>
      <c r="AL97" s="16"/>
      <c r="AM97" s="16"/>
      <c r="AN97" s="16"/>
      <c r="AO97" s="16"/>
    </row>
    <row r="98" ht="15.75" customHeight="1">
      <c r="A98" s="16" t="s">
        <v>696</v>
      </c>
      <c r="B98" s="16" t="s">
        <v>468</v>
      </c>
      <c r="C98" s="16" t="s">
        <v>469</v>
      </c>
      <c r="D98" s="16" t="s">
        <v>697</v>
      </c>
      <c r="E98" s="16" t="s">
        <v>471</v>
      </c>
      <c r="F98" s="16" t="s">
        <v>472</v>
      </c>
      <c r="G98" s="16" t="s">
        <v>621</v>
      </c>
      <c r="H98" s="16" t="s">
        <v>698</v>
      </c>
      <c r="I98" s="16" t="s">
        <v>699</v>
      </c>
      <c r="J98" s="17"/>
      <c r="K98" s="16" t="s">
        <v>700</v>
      </c>
      <c r="L98" s="18" t="s">
        <v>701</v>
      </c>
      <c r="M98" s="18" t="s">
        <v>701</v>
      </c>
      <c r="N98" s="16" t="s">
        <v>100</v>
      </c>
      <c r="O98" s="16" t="s">
        <v>81</v>
      </c>
      <c r="P98" s="16" t="s">
        <v>82</v>
      </c>
      <c r="Q98" s="19">
        <v>46146.20754834491</v>
      </c>
      <c r="R98" s="17"/>
      <c r="S98" s="17"/>
      <c r="T98" s="17"/>
      <c r="U98" s="20"/>
      <c r="V98" s="17"/>
      <c r="W98" s="16" t="s">
        <v>700</v>
      </c>
      <c r="X98" s="17"/>
      <c r="Y98" s="17"/>
      <c r="Z98" s="17"/>
      <c r="AA98" s="17"/>
      <c r="AB98" s="17"/>
      <c r="AC98" s="17"/>
      <c r="AD98" s="20"/>
      <c r="AE98" s="16" t="s">
        <v>702</v>
      </c>
      <c r="AF98" s="21">
        <v>46146.55186371528</v>
      </c>
      <c r="AG98" s="16" t="s">
        <v>480</v>
      </c>
      <c r="AH98" s="16"/>
      <c r="AI98" s="16"/>
      <c r="AJ98" s="16"/>
      <c r="AK98" s="16"/>
      <c r="AL98" s="16"/>
      <c r="AM98" s="16"/>
      <c r="AN98" s="16"/>
      <c r="AO98" s="16"/>
    </row>
    <row r="99" ht="15.75" customHeight="1">
      <c r="A99" s="16" t="s">
        <v>703</v>
      </c>
      <c r="B99" s="16" t="s">
        <v>468</v>
      </c>
      <c r="C99" s="16" t="s">
        <v>469</v>
      </c>
      <c r="D99" s="16" t="s">
        <v>704</v>
      </c>
      <c r="E99" s="16" t="s">
        <v>471</v>
      </c>
      <c r="F99" s="16" t="s">
        <v>472</v>
      </c>
      <c r="G99" s="16" t="s">
        <v>87</v>
      </c>
      <c r="H99" s="16" t="s">
        <v>705</v>
      </c>
      <c r="I99" s="16" t="s">
        <v>706</v>
      </c>
      <c r="J99" s="17"/>
      <c r="K99" s="17"/>
      <c r="L99" s="18" t="s">
        <v>707</v>
      </c>
      <c r="M99" s="18" t="s">
        <v>708</v>
      </c>
      <c r="N99" s="16" t="s">
        <v>80</v>
      </c>
      <c r="O99" s="16" t="s">
        <v>81</v>
      </c>
      <c r="P99" s="16" t="s">
        <v>82</v>
      </c>
      <c r="Q99" s="19">
        <v>46146.2061258912</v>
      </c>
      <c r="R99" s="17"/>
      <c r="S99" s="17"/>
      <c r="T99" s="17"/>
      <c r="U99" s="20"/>
      <c r="V99" s="17"/>
      <c r="W99" s="17"/>
      <c r="X99" s="17"/>
      <c r="Y99" s="17"/>
      <c r="Z99" s="17"/>
      <c r="AA99" s="17"/>
      <c r="AB99" s="17"/>
      <c r="AC99" s="17"/>
      <c r="AD99" s="20"/>
      <c r="AE99" s="16" t="s">
        <v>646</v>
      </c>
      <c r="AF99" s="21">
        <v>46146.55186371528</v>
      </c>
      <c r="AG99" s="16" t="s">
        <v>480</v>
      </c>
      <c r="AH99" s="16"/>
      <c r="AI99" s="16"/>
      <c r="AJ99" s="16"/>
      <c r="AK99" s="16"/>
      <c r="AL99" s="16"/>
      <c r="AM99" s="16"/>
      <c r="AN99" s="16"/>
      <c r="AO99" s="16"/>
    </row>
    <row r="100" ht="15.75" customHeight="1">
      <c r="A100" s="16" t="s">
        <v>709</v>
      </c>
      <c r="B100" s="16" t="s">
        <v>468</v>
      </c>
      <c r="C100" s="16" t="s">
        <v>469</v>
      </c>
      <c r="D100" s="16" t="s">
        <v>710</v>
      </c>
      <c r="E100" s="16" t="s">
        <v>471</v>
      </c>
      <c r="F100" s="16" t="s">
        <v>472</v>
      </c>
      <c r="G100" s="16" t="s">
        <v>87</v>
      </c>
      <c r="H100" s="16" t="s">
        <v>711</v>
      </c>
      <c r="I100" s="16" t="s">
        <v>712</v>
      </c>
      <c r="J100" s="17"/>
      <c r="K100" s="17"/>
      <c r="L100" s="18" t="s">
        <v>713</v>
      </c>
      <c r="M100" s="18" t="s">
        <v>714</v>
      </c>
      <c r="N100" s="16" t="s">
        <v>80</v>
      </c>
      <c r="O100" s="16" t="s">
        <v>81</v>
      </c>
      <c r="P100" s="16" t="s">
        <v>82</v>
      </c>
      <c r="Q100" s="19">
        <v>46146.20612890046</v>
      </c>
      <c r="R100" s="17"/>
      <c r="S100" s="17"/>
      <c r="T100" s="16" t="s">
        <v>297</v>
      </c>
      <c r="U100" s="19">
        <v>46148.08017361111</v>
      </c>
      <c r="V100" s="16" t="s">
        <v>715</v>
      </c>
      <c r="W100" s="17"/>
      <c r="X100" s="16" t="s">
        <v>299</v>
      </c>
      <c r="Y100" s="17"/>
      <c r="Z100" s="17"/>
      <c r="AA100" s="17"/>
      <c r="AB100" s="17"/>
      <c r="AC100" s="16" t="s">
        <v>300</v>
      </c>
      <c r="AD100" s="19">
        <v>46148.095704618056</v>
      </c>
      <c r="AE100" s="16" t="s">
        <v>716</v>
      </c>
      <c r="AF100" s="21">
        <v>46146.55186371528</v>
      </c>
      <c r="AG100" s="16" t="s">
        <v>480</v>
      </c>
      <c r="AH100" s="16" t="s">
        <v>717</v>
      </c>
      <c r="AI100" s="16" t="s">
        <v>712</v>
      </c>
      <c r="AJ100" s="16"/>
      <c r="AK100" s="16"/>
      <c r="AL100" s="16"/>
      <c r="AM100" s="16"/>
      <c r="AN100" s="16"/>
      <c r="AO100" s="16"/>
    </row>
    <row r="101" ht="15.75" customHeight="1">
      <c r="A101" s="16" t="s">
        <v>718</v>
      </c>
      <c r="B101" s="16" t="s">
        <v>468</v>
      </c>
      <c r="C101" s="16" t="s">
        <v>469</v>
      </c>
      <c r="D101" s="16" t="s">
        <v>719</v>
      </c>
      <c r="E101" s="16" t="s">
        <v>471</v>
      </c>
      <c r="F101" s="16" t="s">
        <v>472</v>
      </c>
      <c r="G101" s="16" t="s">
        <v>87</v>
      </c>
      <c r="H101" s="16" t="s">
        <v>720</v>
      </c>
      <c r="I101" s="16" t="s">
        <v>721</v>
      </c>
      <c r="J101" s="17"/>
      <c r="K101" s="17"/>
      <c r="L101" s="18" t="s">
        <v>722</v>
      </c>
      <c r="M101" s="18" t="s">
        <v>723</v>
      </c>
      <c r="N101" s="16" t="s">
        <v>100</v>
      </c>
      <c r="O101" s="16" t="s">
        <v>81</v>
      </c>
      <c r="P101" s="16" t="s">
        <v>82</v>
      </c>
      <c r="Q101" s="19">
        <v>46146.20731912037</v>
      </c>
      <c r="R101" s="17"/>
      <c r="S101" s="17"/>
      <c r="T101" s="17"/>
      <c r="U101" s="20"/>
      <c r="V101" s="17"/>
      <c r="W101" s="17"/>
      <c r="X101" s="17"/>
      <c r="Y101" s="17"/>
      <c r="Z101" s="17"/>
      <c r="AA101" s="17"/>
      <c r="AB101" s="17"/>
      <c r="AC101" s="17"/>
      <c r="AD101" s="20"/>
      <c r="AE101" s="16" t="s">
        <v>724</v>
      </c>
      <c r="AF101" s="21">
        <v>46146.55186371528</v>
      </c>
      <c r="AG101" s="16" t="s">
        <v>480</v>
      </c>
      <c r="AH101" s="16"/>
      <c r="AI101" s="16"/>
      <c r="AJ101" s="16"/>
      <c r="AK101" s="16"/>
      <c r="AL101" s="16"/>
      <c r="AM101" s="16"/>
      <c r="AN101" s="16"/>
      <c r="AO101" s="16"/>
    </row>
    <row r="102" ht="15.75" customHeight="1">
      <c r="A102" s="16" t="s">
        <v>725</v>
      </c>
      <c r="B102" s="16" t="s">
        <v>468</v>
      </c>
      <c r="C102" s="16" t="s">
        <v>469</v>
      </c>
      <c r="D102" s="16" t="s">
        <v>726</v>
      </c>
      <c r="E102" s="16" t="s">
        <v>471</v>
      </c>
      <c r="F102" s="16" t="s">
        <v>472</v>
      </c>
      <c r="G102" s="16" t="s">
        <v>87</v>
      </c>
      <c r="H102" s="16" t="s">
        <v>727</v>
      </c>
      <c r="I102" s="16" t="s">
        <v>728</v>
      </c>
      <c r="J102" s="17"/>
      <c r="K102" s="17"/>
      <c r="L102" s="18" t="s">
        <v>729</v>
      </c>
      <c r="M102" s="18" t="s">
        <v>730</v>
      </c>
      <c r="N102" s="16" t="s">
        <v>80</v>
      </c>
      <c r="O102" s="16" t="s">
        <v>81</v>
      </c>
      <c r="P102" s="16" t="s">
        <v>82</v>
      </c>
      <c r="Q102" s="19">
        <v>46146.20532361111</v>
      </c>
      <c r="R102" s="17"/>
      <c r="S102" s="17"/>
      <c r="T102" s="17"/>
      <c r="U102" s="20"/>
      <c r="V102" s="17"/>
      <c r="W102" s="17"/>
      <c r="X102" s="17"/>
      <c r="Y102" s="17"/>
      <c r="Z102" s="17"/>
      <c r="AA102" s="17"/>
      <c r="AB102" s="17"/>
      <c r="AC102" s="17"/>
      <c r="AD102" s="20"/>
      <c r="AE102" s="16" t="s">
        <v>731</v>
      </c>
      <c r="AF102" s="21">
        <v>46146.55186371528</v>
      </c>
      <c r="AG102" s="16" t="s">
        <v>480</v>
      </c>
      <c r="AH102" s="16"/>
      <c r="AI102" s="16"/>
      <c r="AJ102" s="16"/>
      <c r="AK102" s="16"/>
      <c r="AL102" s="16"/>
      <c r="AM102" s="16"/>
      <c r="AN102" s="16"/>
      <c r="AO102" s="16"/>
    </row>
    <row r="103" ht="15.75" customHeight="1">
      <c r="A103" s="16" t="s">
        <v>732</v>
      </c>
      <c r="B103" s="16" t="s">
        <v>468</v>
      </c>
      <c r="C103" s="16" t="s">
        <v>469</v>
      </c>
      <c r="D103" s="16" t="s">
        <v>733</v>
      </c>
      <c r="E103" s="16" t="s">
        <v>471</v>
      </c>
      <c r="F103" s="16" t="s">
        <v>472</v>
      </c>
      <c r="G103" s="16" t="s">
        <v>87</v>
      </c>
      <c r="H103" s="16" t="s">
        <v>734</v>
      </c>
      <c r="I103" s="16" t="s">
        <v>735</v>
      </c>
      <c r="J103" s="16" t="s">
        <v>736</v>
      </c>
      <c r="K103" s="16" t="s">
        <v>737</v>
      </c>
      <c r="L103" s="18" t="s">
        <v>738</v>
      </c>
      <c r="M103" s="18" t="s">
        <v>739</v>
      </c>
      <c r="N103" s="16" t="s">
        <v>80</v>
      </c>
      <c r="O103" s="16" t="s">
        <v>81</v>
      </c>
      <c r="P103" s="16" t="s">
        <v>82</v>
      </c>
      <c r="Q103" s="19">
        <v>46146.20613204861</v>
      </c>
      <c r="R103" s="17"/>
      <c r="S103" s="17"/>
      <c r="T103" s="17"/>
      <c r="U103" s="20"/>
      <c r="V103" s="17"/>
      <c r="W103" s="16" t="s">
        <v>737</v>
      </c>
      <c r="X103" s="17"/>
      <c r="Y103" s="17"/>
      <c r="Z103" s="17"/>
      <c r="AA103" s="17"/>
      <c r="AB103" s="17"/>
      <c r="AC103" s="17"/>
      <c r="AD103" s="20"/>
      <c r="AE103" s="16" t="s">
        <v>740</v>
      </c>
      <c r="AF103" s="21">
        <v>46146.55186371528</v>
      </c>
      <c r="AG103" s="16" t="s">
        <v>480</v>
      </c>
      <c r="AH103" s="16"/>
      <c r="AI103" s="16"/>
      <c r="AJ103" s="16"/>
      <c r="AK103" s="16"/>
      <c r="AL103" s="16"/>
      <c r="AM103" s="16"/>
      <c r="AN103" s="16"/>
      <c r="AO103" s="16"/>
    </row>
    <row r="104" ht="15.75" customHeight="1">
      <c r="A104" s="16" t="s">
        <v>741</v>
      </c>
      <c r="B104" s="16" t="s">
        <v>468</v>
      </c>
      <c r="C104" s="16" t="s">
        <v>469</v>
      </c>
      <c r="D104" s="16" t="s">
        <v>742</v>
      </c>
      <c r="E104" s="16" t="s">
        <v>471</v>
      </c>
      <c r="F104" s="16" t="s">
        <v>472</v>
      </c>
      <c r="G104" s="16" t="s">
        <v>87</v>
      </c>
      <c r="H104" s="16" t="s">
        <v>743</v>
      </c>
      <c r="I104" s="16" t="s">
        <v>744</v>
      </c>
      <c r="J104" s="17"/>
      <c r="K104" s="16" t="s">
        <v>745</v>
      </c>
      <c r="L104" s="18" t="s">
        <v>746</v>
      </c>
      <c r="M104" s="18" t="s">
        <v>747</v>
      </c>
      <c r="N104" s="16" t="s">
        <v>166</v>
      </c>
      <c r="O104" s="16" t="s">
        <v>81</v>
      </c>
      <c r="P104" s="16" t="s">
        <v>82</v>
      </c>
      <c r="Q104" s="19">
        <v>46146.20447834491</v>
      </c>
      <c r="R104" s="17"/>
      <c r="S104" s="17"/>
      <c r="T104" s="17"/>
      <c r="U104" s="20"/>
      <c r="V104" s="17"/>
      <c r="W104" s="16" t="s">
        <v>745</v>
      </c>
      <c r="X104" s="17"/>
      <c r="Y104" s="17"/>
      <c r="Z104" s="17"/>
      <c r="AA104" s="17"/>
      <c r="AB104" s="17"/>
      <c r="AC104" s="17"/>
      <c r="AD104" s="20"/>
      <c r="AE104" s="16" t="s">
        <v>748</v>
      </c>
      <c r="AF104" s="21">
        <v>46146.55186371528</v>
      </c>
      <c r="AG104" s="16" t="s">
        <v>480</v>
      </c>
      <c r="AH104" s="16"/>
      <c r="AI104" s="16"/>
      <c r="AJ104" s="16"/>
      <c r="AK104" s="16"/>
      <c r="AL104" s="16"/>
      <c r="AM104" s="16"/>
      <c r="AN104" s="16"/>
      <c r="AO104" s="16"/>
    </row>
    <row r="105" ht="15.75" customHeight="1">
      <c r="A105" s="16" t="s">
        <v>749</v>
      </c>
      <c r="B105" s="16" t="s">
        <v>468</v>
      </c>
      <c r="C105" s="16" t="s">
        <v>469</v>
      </c>
      <c r="D105" s="16" t="s">
        <v>750</v>
      </c>
      <c r="E105" s="16" t="s">
        <v>471</v>
      </c>
      <c r="F105" s="16" t="s">
        <v>472</v>
      </c>
      <c r="G105" s="16" t="s">
        <v>87</v>
      </c>
      <c r="H105" s="16" t="s">
        <v>751</v>
      </c>
      <c r="I105" s="16" t="s">
        <v>752</v>
      </c>
      <c r="J105" s="17"/>
      <c r="K105" s="17"/>
      <c r="L105" s="18" t="s">
        <v>753</v>
      </c>
      <c r="M105" s="18" t="s">
        <v>754</v>
      </c>
      <c r="N105" s="16" t="s">
        <v>80</v>
      </c>
      <c r="O105" s="16" t="s">
        <v>81</v>
      </c>
      <c r="P105" s="16" t="s">
        <v>82</v>
      </c>
      <c r="Q105" s="19">
        <v>46146.206187777774</v>
      </c>
      <c r="R105" s="17"/>
      <c r="S105" s="17"/>
      <c r="T105" s="17"/>
      <c r="U105" s="20"/>
      <c r="V105" s="17"/>
      <c r="W105" s="17"/>
      <c r="X105" s="17"/>
      <c r="Y105" s="17"/>
      <c r="Z105" s="17"/>
      <c r="AA105" s="17"/>
      <c r="AB105" s="17"/>
      <c r="AC105" s="17"/>
      <c r="AD105" s="20"/>
      <c r="AE105" s="16" t="s">
        <v>755</v>
      </c>
      <c r="AF105" s="21">
        <v>46146.55186371528</v>
      </c>
      <c r="AG105" s="16" t="s">
        <v>480</v>
      </c>
      <c r="AH105" s="16"/>
      <c r="AI105" s="16"/>
      <c r="AJ105" s="16"/>
      <c r="AK105" s="16"/>
      <c r="AL105" s="16"/>
      <c r="AM105" s="16"/>
      <c r="AN105" s="16"/>
      <c r="AO105" s="16"/>
    </row>
    <row r="106" ht="15.75" customHeight="1">
      <c r="A106" s="16" t="s">
        <v>756</v>
      </c>
      <c r="B106" s="16" t="s">
        <v>468</v>
      </c>
      <c r="C106" s="16" t="s">
        <v>469</v>
      </c>
      <c r="D106" s="16" t="s">
        <v>757</v>
      </c>
      <c r="E106" s="16" t="s">
        <v>471</v>
      </c>
      <c r="F106" s="16" t="s">
        <v>472</v>
      </c>
      <c r="G106" s="16" t="s">
        <v>87</v>
      </c>
      <c r="H106" s="16" t="s">
        <v>758</v>
      </c>
      <c r="I106" s="16" t="s">
        <v>759</v>
      </c>
      <c r="J106" s="17"/>
      <c r="K106" s="17"/>
      <c r="L106" s="18" t="s">
        <v>760</v>
      </c>
      <c r="M106" s="18" t="s">
        <v>761</v>
      </c>
      <c r="N106" s="16" t="s">
        <v>80</v>
      </c>
      <c r="O106" s="16" t="s">
        <v>81</v>
      </c>
      <c r="P106" s="16" t="s">
        <v>82</v>
      </c>
      <c r="Q106" s="19">
        <v>46146.20619670139</v>
      </c>
      <c r="R106" s="17"/>
      <c r="S106" s="17"/>
      <c r="T106" s="17"/>
      <c r="U106" s="20"/>
      <c r="V106" s="17"/>
      <c r="W106" s="17"/>
      <c r="X106" s="17"/>
      <c r="Y106" s="17"/>
      <c r="Z106" s="17"/>
      <c r="AA106" s="17"/>
      <c r="AB106" s="17"/>
      <c r="AC106" s="17"/>
      <c r="AD106" s="20"/>
      <c r="AE106" s="16" t="s">
        <v>762</v>
      </c>
      <c r="AF106" s="21">
        <v>46146.55186371528</v>
      </c>
      <c r="AG106" s="16" t="s">
        <v>480</v>
      </c>
      <c r="AH106" s="16"/>
      <c r="AI106" s="16"/>
      <c r="AJ106" s="16"/>
      <c r="AK106" s="16"/>
      <c r="AL106" s="16"/>
      <c r="AM106" s="16"/>
      <c r="AN106" s="16"/>
      <c r="AO106" s="16"/>
    </row>
    <row r="107" ht="15.75" customHeight="1">
      <c r="A107" s="16" t="s">
        <v>763</v>
      </c>
      <c r="B107" s="16" t="s">
        <v>468</v>
      </c>
      <c r="C107" s="16" t="s">
        <v>469</v>
      </c>
      <c r="D107" s="16" t="s">
        <v>764</v>
      </c>
      <c r="E107" s="16" t="s">
        <v>471</v>
      </c>
      <c r="F107" s="16" t="s">
        <v>472</v>
      </c>
      <c r="G107" s="16" t="s">
        <v>87</v>
      </c>
      <c r="H107" s="17"/>
      <c r="I107" s="16" t="s">
        <v>765</v>
      </c>
      <c r="J107" s="17"/>
      <c r="K107" s="17"/>
      <c r="L107" s="18" t="s">
        <v>766</v>
      </c>
      <c r="M107" s="18" t="s">
        <v>766</v>
      </c>
      <c r="N107" s="16" t="s">
        <v>100</v>
      </c>
      <c r="O107" s="16" t="s">
        <v>81</v>
      </c>
      <c r="P107" s="16" t="s">
        <v>82</v>
      </c>
      <c r="Q107" s="19">
        <v>46146.20732185185</v>
      </c>
      <c r="R107" s="17"/>
      <c r="S107" s="17"/>
      <c r="T107" s="17"/>
      <c r="U107" s="20"/>
      <c r="V107" s="17"/>
      <c r="W107" s="17"/>
      <c r="X107" s="17"/>
      <c r="Y107" s="17"/>
      <c r="Z107" s="17"/>
      <c r="AA107" s="17"/>
      <c r="AB107" s="17"/>
      <c r="AC107" s="17"/>
      <c r="AD107" s="20"/>
      <c r="AE107" s="16" t="s">
        <v>767</v>
      </c>
      <c r="AF107" s="21">
        <v>46146.55186371528</v>
      </c>
      <c r="AG107" s="16" t="s">
        <v>480</v>
      </c>
      <c r="AH107" s="16"/>
      <c r="AI107" s="16"/>
      <c r="AJ107" s="16"/>
      <c r="AK107" s="16"/>
      <c r="AL107" s="16"/>
      <c r="AM107" s="16"/>
      <c r="AN107" s="16"/>
      <c r="AO107" s="16"/>
    </row>
    <row r="108" ht="15.75" customHeight="1">
      <c r="A108" s="16" t="s">
        <v>768</v>
      </c>
      <c r="B108" s="16" t="s">
        <v>468</v>
      </c>
      <c r="C108" s="16" t="s">
        <v>469</v>
      </c>
      <c r="D108" s="16" t="s">
        <v>769</v>
      </c>
      <c r="E108" s="16" t="s">
        <v>471</v>
      </c>
      <c r="F108" s="16" t="s">
        <v>472</v>
      </c>
      <c r="G108" s="16" t="s">
        <v>689</v>
      </c>
      <c r="H108" s="16" t="s">
        <v>770</v>
      </c>
      <c r="I108" s="17"/>
      <c r="J108" s="17"/>
      <c r="K108" s="16" t="s">
        <v>771</v>
      </c>
      <c r="L108" s="18" t="s">
        <v>772</v>
      </c>
      <c r="M108" s="18" t="s">
        <v>772</v>
      </c>
      <c r="N108" s="16" t="s">
        <v>100</v>
      </c>
      <c r="O108" s="16" t="s">
        <v>101</v>
      </c>
      <c r="P108" s="16" t="s">
        <v>102</v>
      </c>
      <c r="Q108" s="20"/>
      <c r="R108" s="16" t="s">
        <v>773</v>
      </c>
      <c r="S108" s="17"/>
      <c r="T108" s="17"/>
      <c r="U108" s="20"/>
      <c r="V108" s="17"/>
      <c r="W108" s="16" t="s">
        <v>771</v>
      </c>
      <c r="X108" s="17"/>
      <c r="Y108" s="17"/>
      <c r="Z108" s="17"/>
      <c r="AA108" s="17"/>
      <c r="AB108" s="17"/>
      <c r="AC108" s="17"/>
      <c r="AD108" s="20"/>
      <c r="AE108" s="16" t="s">
        <v>774</v>
      </c>
      <c r="AF108" s="21">
        <v>46146.55186371528</v>
      </c>
      <c r="AG108" s="16" t="s">
        <v>480</v>
      </c>
      <c r="AH108" s="16"/>
      <c r="AI108" s="16"/>
      <c r="AJ108" s="16"/>
      <c r="AK108" s="16"/>
      <c r="AL108" s="16"/>
      <c r="AM108" s="16"/>
      <c r="AN108" s="16"/>
      <c r="AO108" s="16"/>
    </row>
    <row r="109" ht="15.75" customHeight="1">
      <c r="A109" s="16" t="s">
        <v>775</v>
      </c>
      <c r="B109" s="16" t="s">
        <v>468</v>
      </c>
      <c r="C109" s="16" t="s">
        <v>469</v>
      </c>
      <c r="D109" s="16" t="s">
        <v>776</v>
      </c>
      <c r="E109" s="16" t="s">
        <v>471</v>
      </c>
      <c r="F109" s="16" t="s">
        <v>472</v>
      </c>
      <c r="G109" s="16" t="s">
        <v>87</v>
      </c>
      <c r="H109" s="16" t="s">
        <v>777</v>
      </c>
      <c r="I109" s="16" t="s">
        <v>778</v>
      </c>
      <c r="J109" s="17"/>
      <c r="K109" s="17"/>
      <c r="L109" s="18" t="s">
        <v>779</v>
      </c>
      <c r="M109" s="18" t="s">
        <v>780</v>
      </c>
      <c r="N109" s="16" t="s">
        <v>100</v>
      </c>
      <c r="O109" s="16" t="s">
        <v>81</v>
      </c>
      <c r="P109" s="16" t="s">
        <v>82</v>
      </c>
      <c r="Q109" s="19">
        <v>46146.20732592593</v>
      </c>
      <c r="R109" s="17"/>
      <c r="S109" s="17"/>
      <c r="T109" s="17"/>
      <c r="U109" s="20"/>
      <c r="V109" s="17"/>
      <c r="W109" s="17"/>
      <c r="X109" s="17"/>
      <c r="Y109" s="17"/>
      <c r="Z109" s="17"/>
      <c r="AA109" s="17"/>
      <c r="AB109" s="17"/>
      <c r="AC109" s="17"/>
      <c r="AD109" s="20"/>
      <c r="AE109" s="16" t="s">
        <v>781</v>
      </c>
      <c r="AF109" s="21">
        <v>46146.55186371528</v>
      </c>
      <c r="AG109" s="16" t="s">
        <v>480</v>
      </c>
      <c r="AH109" s="16"/>
      <c r="AI109" s="16"/>
      <c r="AJ109" s="16"/>
      <c r="AK109" s="16"/>
      <c r="AL109" s="16"/>
      <c r="AM109" s="16"/>
      <c r="AN109" s="16"/>
      <c r="AO109" s="16"/>
    </row>
    <row r="110" ht="15.75" customHeight="1">
      <c r="A110" s="16" t="s">
        <v>782</v>
      </c>
      <c r="B110" s="16" t="s">
        <v>468</v>
      </c>
      <c r="C110" s="16" t="s">
        <v>469</v>
      </c>
      <c r="D110" s="16" t="s">
        <v>783</v>
      </c>
      <c r="E110" s="16" t="s">
        <v>471</v>
      </c>
      <c r="F110" s="16" t="s">
        <v>472</v>
      </c>
      <c r="G110" s="16" t="s">
        <v>473</v>
      </c>
      <c r="H110" s="16" t="s">
        <v>784</v>
      </c>
      <c r="I110" s="16" t="s">
        <v>785</v>
      </c>
      <c r="J110" s="17"/>
      <c r="K110" s="17"/>
      <c r="L110" s="18" t="s">
        <v>786</v>
      </c>
      <c r="M110" s="18" t="s">
        <v>786</v>
      </c>
      <c r="N110" s="16" t="s">
        <v>80</v>
      </c>
      <c r="O110" s="16" t="s">
        <v>81</v>
      </c>
      <c r="P110" s="16" t="s">
        <v>82</v>
      </c>
      <c r="Q110" s="19">
        <v>46146.20702541667</v>
      </c>
      <c r="R110" s="17"/>
      <c r="S110" s="17"/>
      <c r="T110" s="17"/>
      <c r="U110" s="20"/>
      <c r="V110" s="17"/>
      <c r="W110" s="17"/>
      <c r="X110" s="17"/>
      <c r="Y110" s="17"/>
      <c r="Z110" s="17"/>
      <c r="AA110" s="17"/>
      <c r="AB110" s="17"/>
      <c r="AC110" s="17"/>
      <c r="AD110" s="20"/>
      <c r="AE110" s="16" t="s">
        <v>479</v>
      </c>
      <c r="AF110" s="21">
        <v>46146.55186371528</v>
      </c>
      <c r="AG110" s="16" t="s">
        <v>480</v>
      </c>
      <c r="AH110" s="16"/>
      <c r="AI110" s="16"/>
      <c r="AJ110" s="16"/>
      <c r="AK110" s="16"/>
      <c r="AL110" s="16"/>
      <c r="AM110" s="16"/>
      <c r="AN110" s="16"/>
      <c r="AO110" s="16"/>
    </row>
    <row r="111" ht="15.75" customHeight="1">
      <c r="A111" s="16" t="s">
        <v>787</v>
      </c>
      <c r="B111" s="16" t="s">
        <v>468</v>
      </c>
      <c r="C111" s="16" t="s">
        <v>469</v>
      </c>
      <c r="D111" s="16" t="s">
        <v>788</v>
      </c>
      <c r="E111" s="16" t="s">
        <v>471</v>
      </c>
      <c r="F111" s="16" t="s">
        <v>472</v>
      </c>
      <c r="G111" s="16" t="s">
        <v>87</v>
      </c>
      <c r="H111" s="16" t="s">
        <v>789</v>
      </c>
      <c r="I111" s="16" t="s">
        <v>790</v>
      </c>
      <c r="J111" s="17"/>
      <c r="K111" s="17"/>
      <c r="L111" s="18" t="s">
        <v>791</v>
      </c>
      <c r="M111" s="18" t="s">
        <v>792</v>
      </c>
      <c r="N111" s="16" t="s">
        <v>100</v>
      </c>
      <c r="O111" s="16" t="s">
        <v>81</v>
      </c>
      <c r="P111" s="16" t="s">
        <v>82</v>
      </c>
      <c r="Q111" s="19">
        <v>46146.207375162034</v>
      </c>
      <c r="R111" s="17"/>
      <c r="S111" s="17"/>
      <c r="T111" s="17"/>
      <c r="U111" s="20"/>
      <c r="V111" s="17"/>
      <c r="W111" s="17"/>
      <c r="X111" s="17"/>
      <c r="Y111" s="17"/>
      <c r="Z111" s="17"/>
      <c r="AA111" s="17"/>
      <c r="AB111" s="17"/>
      <c r="AC111" s="17"/>
      <c r="AD111" s="20"/>
      <c r="AE111" s="16" t="s">
        <v>793</v>
      </c>
      <c r="AF111" s="21">
        <v>46146.55186371528</v>
      </c>
      <c r="AG111" s="16" t="s">
        <v>480</v>
      </c>
      <c r="AH111" s="16"/>
      <c r="AI111" s="16"/>
      <c r="AJ111" s="16"/>
      <c r="AK111" s="16"/>
      <c r="AL111" s="16"/>
      <c r="AM111" s="16"/>
      <c r="AN111" s="16"/>
      <c r="AO111" s="16"/>
    </row>
    <row r="112" ht="15.75" customHeight="1">
      <c r="A112" s="16" t="s">
        <v>794</v>
      </c>
      <c r="B112" s="16" t="s">
        <v>468</v>
      </c>
      <c r="C112" s="16" t="s">
        <v>469</v>
      </c>
      <c r="D112" s="16" t="s">
        <v>795</v>
      </c>
      <c r="E112" s="16" t="s">
        <v>471</v>
      </c>
      <c r="F112" s="16" t="s">
        <v>472</v>
      </c>
      <c r="G112" s="16" t="s">
        <v>614</v>
      </c>
      <c r="H112" s="16" t="s">
        <v>796</v>
      </c>
      <c r="I112" s="16" t="s">
        <v>797</v>
      </c>
      <c r="J112" s="17"/>
      <c r="K112" s="17"/>
      <c r="L112" s="18" t="s">
        <v>798</v>
      </c>
      <c r="M112" s="18" t="s">
        <v>798</v>
      </c>
      <c r="N112" s="16" t="s">
        <v>100</v>
      </c>
      <c r="O112" s="16" t="s">
        <v>81</v>
      </c>
      <c r="P112" s="16" t="s">
        <v>82</v>
      </c>
      <c r="Q112" s="19">
        <v>46146.20743877315</v>
      </c>
      <c r="R112" s="17"/>
      <c r="S112" s="17"/>
      <c r="T112" s="17"/>
      <c r="U112" s="20"/>
      <c r="V112" s="17"/>
      <c r="W112" s="17"/>
      <c r="X112" s="17"/>
      <c r="Y112" s="17"/>
      <c r="Z112" s="17"/>
      <c r="AA112" s="17"/>
      <c r="AB112" s="17"/>
      <c r="AC112" s="17"/>
      <c r="AD112" s="20"/>
      <c r="AE112" s="16" t="s">
        <v>799</v>
      </c>
      <c r="AF112" s="21">
        <v>46146.55186371528</v>
      </c>
      <c r="AG112" s="16" t="s">
        <v>480</v>
      </c>
      <c r="AH112" s="16"/>
      <c r="AI112" s="16"/>
      <c r="AJ112" s="16"/>
      <c r="AK112" s="16"/>
      <c r="AL112" s="16"/>
      <c r="AM112" s="16"/>
      <c r="AN112" s="16"/>
      <c r="AO112" s="16"/>
    </row>
    <row r="113" ht="15.75" customHeight="1">
      <c r="A113" s="16" t="s">
        <v>800</v>
      </c>
      <c r="B113" s="16" t="s">
        <v>468</v>
      </c>
      <c r="C113" s="16" t="s">
        <v>469</v>
      </c>
      <c r="D113" s="16" t="s">
        <v>801</v>
      </c>
      <c r="E113" s="16" t="s">
        <v>471</v>
      </c>
      <c r="F113" s="16" t="s">
        <v>472</v>
      </c>
      <c r="G113" s="16" t="s">
        <v>802</v>
      </c>
      <c r="H113" s="16" t="s">
        <v>803</v>
      </c>
      <c r="I113" s="16" t="s">
        <v>804</v>
      </c>
      <c r="J113" s="17"/>
      <c r="K113" s="16" t="s">
        <v>805</v>
      </c>
      <c r="L113" s="18" t="s">
        <v>806</v>
      </c>
      <c r="M113" s="18" t="s">
        <v>806</v>
      </c>
      <c r="N113" s="16" t="s">
        <v>80</v>
      </c>
      <c r="O113" s="16" t="s">
        <v>81</v>
      </c>
      <c r="P113" s="16" t="s">
        <v>82</v>
      </c>
      <c r="Q113" s="19">
        <v>46146.20708765046</v>
      </c>
      <c r="R113" s="17"/>
      <c r="S113" s="17"/>
      <c r="T113" s="17"/>
      <c r="U113" s="20"/>
      <c r="V113" s="17"/>
      <c r="W113" s="16" t="s">
        <v>805</v>
      </c>
      <c r="X113" s="17"/>
      <c r="Y113" s="17"/>
      <c r="Z113" s="17"/>
      <c r="AA113" s="17"/>
      <c r="AB113" s="17"/>
      <c r="AC113" s="17"/>
      <c r="AD113" s="20"/>
      <c r="AE113" s="16" t="s">
        <v>807</v>
      </c>
      <c r="AF113" s="21">
        <v>46146.55186371528</v>
      </c>
      <c r="AG113" s="16" t="s">
        <v>480</v>
      </c>
      <c r="AH113" s="16"/>
      <c r="AI113" s="16"/>
      <c r="AJ113" s="16"/>
      <c r="AK113" s="16"/>
      <c r="AL113" s="16"/>
      <c r="AM113" s="16"/>
      <c r="AN113" s="16"/>
      <c r="AO113" s="16"/>
    </row>
    <row r="114" ht="15.75" customHeight="1">
      <c r="A114" s="16" t="s">
        <v>808</v>
      </c>
      <c r="B114" s="16" t="s">
        <v>468</v>
      </c>
      <c r="C114" s="16" t="s">
        <v>469</v>
      </c>
      <c r="D114" s="16" t="s">
        <v>809</v>
      </c>
      <c r="E114" s="16" t="s">
        <v>471</v>
      </c>
      <c r="F114" s="16" t="s">
        <v>472</v>
      </c>
      <c r="G114" s="16" t="s">
        <v>614</v>
      </c>
      <c r="H114" s="17"/>
      <c r="I114" s="16" t="s">
        <v>810</v>
      </c>
      <c r="J114" s="17"/>
      <c r="K114" s="16" t="s">
        <v>811</v>
      </c>
      <c r="L114" s="18" t="s">
        <v>812</v>
      </c>
      <c r="M114" s="18" t="s">
        <v>812</v>
      </c>
      <c r="N114" s="16" t="s">
        <v>100</v>
      </c>
      <c r="O114" s="16" t="s">
        <v>81</v>
      </c>
      <c r="P114" s="16" t="s">
        <v>82</v>
      </c>
      <c r="Q114" s="19">
        <v>46146.20744185185</v>
      </c>
      <c r="R114" s="17"/>
      <c r="S114" s="17"/>
      <c r="T114" s="17"/>
      <c r="U114" s="20"/>
      <c r="V114" s="17"/>
      <c r="W114" s="16" t="s">
        <v>811</v>
      </c>
      <c r="X114" s="17"/>
      <c r="Y114" s="17"/>
      <c r="Z114" s="17"/>
      <c r="AA114" s="17"/>
      <c r="AB114" s="17"/>
      <c r="AC114" s="17"/>
      <c r="AD114" s="20"/>
      <c r="AE114" s="16" t="s">
        <v>813</v>
      </c>
      <c r="AF114" s="21">
        <v>46146.55186371528</v>
      </c>
      <c r="AG114" s="16" t="s">
        <v>480</v>
      </c>
      <c r="AH114" s="16"/>
      <c r="AI114" s="16"/>
      <c r="AJ114" s="16"/>
      <c r="AK114" s="16"/>
      <c r="AL114" s="16"/>
      <c r="AM114" s="16"/>
      <c r="AN114" s="16"/>
      <c r="AO114" s="16"/>
    </row>
    <row r="115" ht="15.75" customHeight="1">
      <c r="A115" s="16" t="s">
        <v>814</v>
      </c>
      <c r="B115" s="16" t="s">
        <v>468</v>
      </c>
      <c r="C115" s="16" t="s">
        <v>469</v>
      </c>
      <c r="D115" s="16" t="s">
        <v>815</v>
      </c>
      <c r="E115" s="16" t="s">
        <v>471</v>
      </c>
      <c r="F115" s="16" t="s">
        <v>472</v>
      </c>
      <c r="G115" s="16" t="s">
        <v>87</v>
      </c>
      <c r="H115" s="16" t="s">
        <v>816</v>
      </c>
      <c r="I115" s="16" t="s">
        <v>817</v>
      </c>
      <c r="J115" s="16" t="s">
        <v>818</v>
      </c>
      <c r="K115" s="17"/>
      <c r="L115" s="18" t="s">
        <v>819</v>
      </c>
      <c r="M115" s="18" t="s">
        <v>819</v>
      </c>
      <c r="N115" s="16" t="s">
        <v>80</v>
      </c>
      <c r="O115" s="16" t="s">
        <v>81</v>
      </c>
      <c r="P115" s="16" t="s">
        <v>82</v>
      </c>
      <c r="Q115" s="19">
        <v>46146.20655834491</v>
      </c>
      <c r="R115" s="17"/>
      <c r="S115" s="17"/>
      <c r="T115" s="17"/>
      <c r="U115" s="20"/>
      <c r="V115" s="17"/>
      <c r="W115" s="17"/>
      <c r="X115" s="17"/>
      <c r="Y115" s="17"/>
      <c r="Z115" s="17"/>
      <c r="AA115" s="17"/>
      <c r="AB115" s="17"/>
      <c r="AC115" s="17"/>
      <c r="AD115" s="20"/>
      <c r="AE115" s="16" t="s">
        <v>820</v>
      </c>
      <c r="AF115" s="21">
        <v>46146.55186371528</v>
      </c>
      <c r="AG115" s="16" t="s">
        <v>480</v>
      </c>
      <c r="AH115" s="16"/>
      <c r="AI115" s="16"/>
      <c r="AJ115" s="16"/>
      <c r="AK115" s="16"/>
      <c r="AL115" s="16"/>
      <c r="AM115" s="16"/>
      <c r="AN115" s="16"/>
      <c r="AO115" s="16"/>
    </row>
    <row r="116" ht="15.75" customHeight="1">
      <c r="A116" s="16" t="s">
        <v>821</v>
      </c>
      <c r="B116" s="16" t="s">
        <v>468</v>
      </c>
      <c r="C116" s="16" t="s">
        <v>469</v>
      </c>
      <c r="D116" s="16" t="s">
        <v>822</v>
      </c>
      <c r="E116" s="16" t="s">
        <v>471</v>
      </c>
      <c r="F116" s="16" t="s">
        <v>472</v>
      </c>
      <c r="G116" s="16" t="s">
        <v>87</v>
      </c>
      <c r="H116" s="16" t="s">
        <v>823</v>
      </c>
      <c r="I116" s="16" t="s">
        <v>824</v>
      </c>
      <c r="J116" s="17"/>
      <c r="K116" s="17"/>
      <c r="L116" s="18" t="s">
        <v>825</v>
      </c>
      <c r="M116" s="18" t="s">
        <v>826</v>
      </c>
      <c r="N116" s="16" t="s">
        <v>80</v>
      </c>
      <c r="O116" s="16" t="s">
        <v>81</v>
      </c>
      <c r="P116" s="16" t="s">
        <v>82</v>
      </c>
      <c r="Q116" s="19">
        <v>46146.205329386576</v>
      </c>
      <c r="R116" s="17"/>
      <c r="S116" s="17"/>
      <c r="T116" s="17"/>
      <c r="U116" s="20"/>
      <c r="V116" s="17"/>
      <c r="W116" s="17"/>
      <c r="X116" s="17"/>
      <c r="Y116" s="17"/>
      <c r="Z116" s="17"/>
      <c r="AA116" s="17"/>
      <c r="AB116" s="17"/>
      <c r="AC116" s="17"/>
      <c r="AD116" s="20"/>
      <c r="AE116" s="16" t="s">
        <v>827</v>
      </c>
      <c r="AF116" s="21">
        <v>46146.55186371528</v>
      </c>
      <c r="AG116" s="16" t="s">
        <v>480</v>
      </c>
      <c r="AH116" s="16"/>
      <c r="AI116" s="16"/>
      <c r="AJ116" s="16"/>
      <c r="AK116" s="16"/>
      <c r="AL116" s="16"/>
      <c r="AM116" s="16"/>
      <c r="AN116" s="16"/>
      <c r="AO116" s="16"/>
    </row>
    <row r="117" ht="15.75" customHeight="1">
      <c r="A117" s="16" t="s">
        <v>828</v>
      </c>
      <c r="B117" s="16" t="s">
        <v>468</v>
      </c>
      <c r="C117" s="16" t="s">
        <v>469</v>
      </c>
      <c r="D117" s="16" t="s">
        <v>829</v>
      </c>
      <c r="E117" s="16" t="s">
        <v>471</v>
      </c>
      <c r="F117" s="16" t="s">
        <v>472</v>
      </c>
      <c r="G117" s="16" t="s">
        <v>87</v>
      </c>
      <c r="H117" s="16" t="s">
        <v>830</v>
      </c>
      <c r="I117" s="16" t="s">
        <v>831</v>
      </c>
      <c r="J117" s="17"/>
      <c r="K117" s="17"/>
      <c r="L117" s="18" t="s">
        <v>832</v>
      </c>
      <c r="M117" s="18" t="s">
        <v>833</v>
      </c>
      <c r="N117" s="16" t="s">
        <v>100</v>
      </c>
      <c r="O117" s="16" t="s">
        <v>81</v>
      </c>
      <c r="P117" s="16" t="s">
        <v>82</v>
      </c>
      <c r="Q117" s="19">
        <v>46146.207377893516</v>
      </c>
      <c r="R117" s="17"/>
      <c r="S117" s="17"/>
      <c r="T117" s="16" t="s">
        <v>297</v>
      </c>
      <c r="U117" s="19">
        <v>46147.098750000005</v>
      </c>
      <c r="V117" s="16" t="s">
        <v>829</v>
      </c>
      <c r="W117" s="17"/>
      <c r="X117" s="16" t="s">
        <v>299</v>
      </c>
      <c r="Y117" s="17"/>
      <c r="Z117" s="17"/>
      <c r="AA117" s="17"/>
      <c r="AB117" s="17"/>
      <c r="AC117" s="16" t="s">
        <v>300</v>
      </c>
      <c r="AD117" s="19">
        <v>46147.61922273148</v>
      </c>
      <c r="AE117" s="16" t="s">
        <v>834</v>
      </c>
      <c r="AF117" s="21">
        <v>46146.55186371528</v>
      </c>
      <c r="AG117" s="16" t="s">
        <v>480</v>
      </c>
      <c r="AH117" s="16" t="s">
        <v>835</v>
      </c>
      <c r="AI117" s="16" t="s">
        <v>831</v>
      </c>
      <c r="AJ117" s="16" t="s">
        <v>297</v>
      </c>
      <c r="AK117" s="16"/>
      <c r="AL117" s="16"/>
      <c r="AM117" s="16" t="s">
        <v>18</v>
      </c>
      <c r="AN117" s="16" t="s">
        <v>303</v>
      </c>
      <c r="AO117" s="16" t="s">
        <v>304</v>
      </c>
    </row>
    <row r="118" ht="15.75" customHeight="1">
      <c r="A118" s="16" t="s">
        <v>836</v>
      </c>
      <c r="B118" s="16" t="s">
        <v>468</v>
      </c>
      <c r="C118" s="16" t="s">
        <v>469</v>
      </c>
      <c r="D118" s="16" t="s">
        <v>837</v>
      </c>
      <c r="E118" s="16" t="s">
        <v>471</v>
      </c>
      <c r="F118" s="16" t="s">
        <v>472</v>
      </c>
      <c r="G118" s="16" t="s">
        <v>838</v>
      </c>
      <c r="H118" s="16" t="s">
        <v>839</v>
      </c>
      <c r="I118" s="16" t="s">
        <v>840</v>
      </c>
      <c r="J118" s="17"/>
      <c r="K118" s="16" t="s">
        <v>841</v>
      </c>
      <c r="L118" s="18" t="s">
        <v>842</v>
      </c>
      <c r="M118" s="18" t="s">
        <v>843</v>
      </c>
      <c r="N118" s="16" t="s">
        <v>80</v>
      </c>
      <c r="O118" s="16" t="s">
        <v>81</v>
      </c>
      <c r="P118" s="16" t="s">
        <v>82</v>
      </c>
      <c r="Q118" s="19">
        <v>46146.20703071759</v>
      </c>
      <c r="R118" s="17"/>
      <c r="S118" s="17"/>
      <c r="T118" s="17"/>
      <c r="U118" s="20"/>
      <c r="V118" s="17"/>
      <c r="W118" s="16" t="s">
        <v>841</v>
      </c>
      <c r="X118" s="17"/>
      <c r="Y118" s="17"/>
      <c r="Z118" s="17"/>
      <c r="AA118" s="17"/>
      <c r="AB118" s="17"/>
      <c r="AC118" s="17"/>
      <c r="AD118" s="20"/>
      <c r="AE118" s="16" t="s">
        <v>844</v>
      </c>
      <c r="AF118" s="21">
        <v>46146.55186371528</v>
      </c>
      <c r="AG118" s="16" t="s">
        <v>480</v>
      </c>
      <c r="AH118" s="16"/>
      <c r="AI118" s="16"/>
      <c r="AJ118" s="16"/>
      <c r="AK118" s="16"/>
      <c r="AL118" s="16"/>
      <c r="AM118" s="16"/>
      <c r="AN118" s="16"/>
      <c r="AO118" s="16"/>
    </row>
    <row r="119" ht="15.75" customHeight="1">
      <c r="A119" s="16" t="s">
        <v>845</v>
      </c>
      <c r="B119" s="16" t="s">
        <v>468</v>
      </c>
      <c r="C119" s="16" t="s">
        <v>469</v>
      </c>
      <c r="D119" s="16" t="s">
        <v>846</v>
      </c>
      <c r="E119" s="16" t="s">
        <v>471</v>
      </c>
      <c r="F119" s="16" t="s">
        <v>472</v>
      </c>
      <c r="G119" s="16" t="s">
        <v>87</v>
      </c>
      <c r="H119" s="16" t="s">
        <v>847</v>
      </c>
      <c r="I119" s="16" t="s">
        <v>848</v>
      </c>
      <c r="J119" s="17"/>
      <c r="K119" s="17"/>
      <c r="L119" s="18" t="s">
        <v>849</v>
      </c>
      <c r="M119" s="18" t="s">
        <v>850</v>
      </c>
      <c r="N119" s="16" t="s">
        <v>80</v>
      </c>
      <c r="O119" s="16" t="s">
        <v>81</v>
      </c>
      <c r="P119" s="16" t="s">
        <v>82</v>
      </c>
      <c r="Q119" s="19">
        <v>46146.20656774305</v>
      </c>
      <c r="R119" s="17"/>
      <c r="S119" s="17"/>
      <c r="T119" s="17"/>
      <c r="U119" s="20"/>
      <c r="V119" s="17"/>
      <c r="W119" s="17"/>
      <c r="X119" s="17"/>
      <c r="Y119" s="17"/>
      <c r="Z119" s="17"/>
      <c r="AA119" s="17"/>
      <c r="AB119" s="17"/>
      <c r="AC119" s="17"/>
      <c r="AD119" s="20"/>
      <c r="AE119" s="16" t="s">
        <v>740</v>
      </c>
      <c r="AF119" s="21">
        <v>46146.55186371528</v>
      </c>
      <c r="AG119" s="16" t="s">
        <v>480</v>
      </c>
      <c r="AH119" s="16"/>
      <c r="AI119" s="16"/>
      <c r="AJ119" s="16"/>
      <c r="AK119" s="16"/>
      <c r="AL119" s="16"/>
      <c r="AM119" s="16"/>
      <c r="AN119" s="16"/>
      <c r="AO119" s="16"/>
    </row>
    <row r="120" ht="15.75" customHeight="1">
      <c r="A120" s="16" t="s">
        <v>851</v>
      </c>
      <c r="B120" s="16" t="s">
        <v>468</v>
      </c>
      <c r="C120" s="16" t="s">
        <v>469</v>
      </c>
      <c r="D120" s="16" t="s">
        <v>852</v>
      </c>
      <c r="E120" s="16" t="s">
        <v>471</v>
      </c>
      <c r="F120" s="16" t="s">
        <v>472</v>
      </c>
      <c r="G120" s="16" t="s">
        <v>614</v>
      </c>
      <c r="H120" s="17"/>
      <c r="I120" s="16" t="s">
        <v>853</v>
      </c>
      <c r="J120" s="16" t="s">
        <v>854</v>
      </c>
      <c r="K120" s="17"/>
      <c r="L120" s="18" t="s">
        <v>855</v>
      </c>
      <c r="M120" s="18" t="s">
        <v>855</v>
      </c>
      <c r="N120" s="16" t="s">
        <v>80</v>
      </c>
      <c r="O120" s="16" t="s">
        <v>81</v>
      </c>
      <c r="P120" s="16" t="s">
        <v>82</v>
      </c>
      <c r="Q120" s="19">
        <v>46146.20708516204</v>
      </c>
      <c r="R120" s="17"/>
      <c r="S120" s="17"/>
      <c r="T120" s="17"/>
      <c r="U120" s="20"/>
      <c r="V120" s="17"/>
      <c r="W120" s="17"/>
      <c r="X120" s="17"/>
      <c r="Y120" s="17"/>
      <c r="Z120" s="17"/>
      <c r="AA120" s="17"/>
      <c r="AB120" s="17"/>
      <c r="AC120" s="17"/>
      <c r="AD120" s="20"/>
      <c r="AE120" s="16" t="s">
        <v>856</v>
      </c>
      <c r="AF120" s="21">
        <v>46146.55186371528</v>
      </c>
      <c r="AG120" s="16" t="s">
        <v>480</v>
      </c>
      <c r="AH120" s="16"/>
      <c r="AI120" s="16"/>
      <c r="AJ120" s="16"/>
      <c r="AK120" s="16"/>
      <c r="AL120" s="16"/>
      <c r="AM120" s="16"/>
      <c r="AN120" s="16"/>
      <c r="AO120" s="16"/>
    </row>
    <row r="121" ht="15.75" customHeight="1">
      <c r="A121" s="16" t="s">
        <v>857</v>
      </c>
      <c r="B121" s="16" t="s">
        <v>468</v>
      </c>
      <c r="C121" s="16" t="s">
        <v>469</v>
      </c>
      <c r="D121" s="16" t="s">
        <v>858</v>
      </c>
      <c r="E121" s="16" t="s">
        <v>471</v>
      </c>
      <c r="F121" s="16" t="s">
        <v>472</v>
      </c>
      <c r="G121" s="16" t="s">
        <v>642</v>
      </c>
      <c r="H121" s="16" t="s">
        <v>859</v>
      </c>
      <c r="I121" s="16" t="s">
        <v>860</v>
      </c>
      <c r="J121" s="17"/>
      <c r="K121" s="16" t="s">
        <v>861</v>
      </c>
      <c r="L121" s="18" t="s">
        <v>862</v>
      </c>
      <c r="M121" s="18" t="s">
        <v>862</v>
      </c>
      <c r="N121" s="16" t="s">
        <v>166</v>
      </c>
      <c r="O121" s="16" t="s">
        <v>81</v>
      </c>
      <c r="P121" s="16" t="s">
        <v>82</v>
      </c>
      <c r="Q121" s="19">
        <v>46146.20454225694</v>
      </c>
      <c r="R121" s="17"/>
      <c r="S121" s="17"/>
      <c r="T121" s="17"/>
      <c r="U121" s="20"/>
      <c r="V121" s="17"/>
      <c r="W121" s="16" t="s">
        <v>861</v>
      </c>
      <c r="X121" s="17"/>
      <c r="Y121" s="17"/>
      <c r="Z121" s="17"/>
      <c r="AA121" s="17"/>
      <c r="AB121" s="17"/>
      <c r="AC121" s="17"/>
      <c r="AD121" s="20"/>
      <c r="AE121" s="16" t="s">
        <v>863</v>
      </c>
      <c r="AF121" s="21">
        <v>46146.55186371528</v>
      </c>
      <c r="AG121" s="16" t="s">
        <v>480</v>
      </c>
      <c r="AH121" s="16"/>
      <c r="AI121" s="16"/>
      <c r="AJ121" s="16"/>
      <c r="AK121" s="16"/>
      <c r="AL121" s="16"/>
      <c r="AM121" s="16"/>
      <c r="AN121" s="16"/>
      <c r="AO121" s="16"/>
    </row>
    <row r="122" ht="15.75" customHeight="1">
      <c r="A122" s="16" t="s">
        <v>864</v>
      </c>
      <c r="B122" s="16" t="s">
        <v>468</v>
      </c>
      <c r="C122" s="16" t="s">
        <v>469</v>
      </c>
      <c r="D122" s="16" t="s">
        <v>865</v>
      </c>
      <c r="E122" s="16" t="s">
        <v>471</v>
      </c>
      <c r="F122" s="16" t="s">
        <v>472</v>
      </c>
      <c r="G122" s="16" t="s">
        <v>802</v>
      </c>
      <c r="H122" s="16" t="s">
        <v>866</v>
      </c>
      <c r="I122" s="16" t="s">
        <v>867</v>
      </c>
      <c r="J122" s="17"/>
      <c r="K122" s="17"/>
      <c r="L122" s="18" t="s">
        <v>868</v>
      </c>
      <c r="M122" s="18" t="s">
        <v>868</v>
      </c>
      <c r="N122" s="16" t="s">
        <v>166</v>
      </c>
      <c r="O122" s="16" t="s">
        <v>81</v>
      </c>
      <c r="P122" s="16" t="s">
        <v>82</v>
      </c>
      <c r="Q122" s="19">
        <v>46146.20526717593</v>
      </c>
      <c r="R122" s="17"/>
      <c r="S122" s="17"/>
      <c r="T122" s="17"/>
      <c r="U122" s="20"/>
      <c r="V122" s="17"/>
      <c r="W122" s="17"/>
      <c r="X122" s="17"/>
      <c r="Y122" s="17"/>
      <c r="Z122" s="17"/>
      <c r="AA122" s="17"/>
      <c r="AB122" s="17"/>
      <c r="AC122" s="17"/>
      <c r="AD122" s="20"/>
      <c r="AE122" s="16" t="s">
        <v>479</v>
      </c>
      <c r="AF122" s="21">
        <v>46146.55186371528</v>
      </c>
      <c r="AG122" s="16" t="s">
        <v>480</v>
      </c>
      <c r="AH122" s="16"/>
      <c r="AI122" s="16"/>
      <c r="AJ122" s="16"/>
      <c r="AK122" s="16"/>
      <c r="AL122" s="16"/>
      <c r="AM122" s="16"/>
      <c r="AN122" s="16"/>
      <c r="AO122" s="16"/>
    </row>
    <row r="123" ht="15.75" customHeight="1">
      <c r="A123" s="16" t="s">
        <v>869</v>
      </c>
      <c r="B123" s="16" t="s">
        <v>468</v>
      </c>
      <c r="C123" s="16" t="s">
        <v>469</v>
      </c>
      <c r="D123" s="16" t="s">
        <v>870</v>
      </c>
      <c r="E123" s="16" t="s">
        <v>471</v>
      </c>
      <c r="F123" s="16" t="s">
        <v>472</v>
      </c>
      <c r="G123" s="16" t="s">
        <v>87</v>
      </c>
      <c r="H123" s="16" t="s">
        <v>871</v>
      </c>
      <c r="I123" s="16" t="s">
        <v>872</v>
      </c>
      <c r="J123" s="17"/>
      <c r="K123" s="17"/>
      <c r="L123" s="18" t="s">
        <v>873</v>
      </c>
      <c r="M123" s="18" t="s">
        <v>873</v>
      </c>
      <c r="N123" s="16" t="s">
        <v>100</v>
      </c>
      <c r="O123" s="16" t="s">
        <v>81</v>
      </c>
      <c r="P123" s="16" t="s">
        <v>82</v>
      </c>
      <c r="Q123" s="19">
        <v>46146.207434780095</v>
      </c>
      <c r="R123" s="17"/>
      <c r="S123" s="17"/>
      <c r="T123" s="17"/>
      <c r="U123" s="20"/>
      <c r="V123" s="17"/>
      <c r="W123" s="17"/>
      <c r="X123" s="17"/>
      <c r="Y123" s="17"/>
      <c r="Z123" s="17"/>
      <c r="AA123" s="17"/>
      <c r="AB123" s="17"/>
      <c r="AC123" s="17"/>
      <c r="AD123" s="20"/>
      <c r="AE123" s="16" t="s">
        <v>874</v>
      </c>
      <c r="AF123" s="21">
        <v>46146.55186371528</v>
      </c>
      <c r="AG123" s="16" t="s">
        <v>480</v>
      </c>
      <c r="AH123" s="16"/>
      <c r="AI123" s="16"/>
      <c r="AJ123" s="16"/>
      <c r="AK123" s="16"/>
      <c r="AL123" s="16"/>
      <c r="AM123" s="16"/>
      <c r="AN123" s="16"/>
      <c r="AO123" s="16"/>
    </row>
    <row r="124" ht="15.75" customHeight="1">
      <c r="A124" s="16" t="s">
        <v>875</v>
      </c>
      <c r="B124" s="16" t="s">
        <v>468</v>
      </c>
      <c r="C124" s="16" t="s">
        <v>469</v>
      </c>
      <c r="D124" s="16" t="s">
        <v>876</v>
      </c>
      <c r="E124" s="16" t="s">
        <v>471</v>
      </c>
      <c r="F124" s="16" t="s">
        <v>472</v>
      </c>
      <c r="G124" s="16" t="s">
        <v>87</v>
      </c>
      <c r="H124" s="16" t="s">
        <v>877</v>
      </c>
      <c r="I124" s="16" t="s">
        <v>878</v>
      </c>
      <c r="J124" s="16" t="s">
        <v>879</v>
      </c>
      <c r="K124" s="16" t="s">
        <v>880</v>
      </c>
      <c r="L124" s="18" t="s">
        <v>881</v>
      </c>
      <c r="M124" s="18" t="s">
        <v>881</v>
      </c>
      <c r="N124" s="16" t="s">
        <v>166</v>
      </c>
      <c r="O124" s="16" t="s">
        <v>81</v>
      </c>
      <c r="P124" s="16" t="s">
        <v>82</v>
      </c>
      <c r="Q124" s="19">
        <v>46146.204539432874</v>
      </c>
      <c r="R124" s="17"/>
      <c r="S124" s="17"/>
      <c r="T124" s="17"/>
      <c r="U124" s="20"/>
      <c r="V124" s="17"/>
      <c r="W124" s="16" t="s">
        <v>880</v>
      </c>
      <c r="X124" s="17"/>
      <c r="Y124" s="17"/>
      <c r="Z124" s="17"/>
      <c r="AA124" s="17"/>
      <c r="AB124" s="17"/>
      <c r="AC124" s="17"/>
      <c r="AD124" s="20"/>
      <c r="AE124" s="16" t="s">
        <v>882</v>
      </c>
      <c r="AF124" s="21">
        <v>46146.55186371528</v>
      </c>
      <c r="AG124" s="16" t="s">
        <v>480</v>
      </c>
      <c r="AH124" s="16"/>
      <c r="AI124" s="16"/>
      <c r="AJ124" s="16"/>
      <c r="AK124" s="16"/>
      <c r="AL124" s="16"/>
      <c r="AM124" s="16"/>
      <c r="AN124" s="16"/>
      <c r="AO124" s="16"/>
    </row>
    <row r="125" ht="15.75" customHeight="1">
      <c r="A125" s="16" t="s">
        <v>883</v>
      </c>
      <c r="B125" s="16" t="s">
        <v>468</v>
      </c>
      <c r="C125" s="16" t="s">
        <v>469</v>
      </c>
      <c r="D125" s="16" t="s">
        <v>884</v>
      </c>
      <c r="E125" s="16" t="s">
        <v>471</v>
      </c>
      <c r="F125" s="16" t="s">
        <v>472</v>
      </c>
      <c r="G125" s="16" t="s">
        <v>662</v>
      </c>
      <c r="H125" s="17"/>
      <c r="I125" s="17"/>
      <c r="J125" s="17"/>
      <c r="K125" s="17"/>
      <c r="L125" s="18" t="s">
        <v>885</v>
      </c>
      <c r="M125" s="18" t="s">
        <v>885</v>
      </c>
      <c r="N125" s="16" t="s">
        <v>100</v>
      </c>
      <c r="O125" s="16" t="s">
        <v>101</v>
      </c>
      <c r="P125" s="16" t="s">
        <v>102</v>
      </c>
      <c r="Q125" s="20"/>
      <c r="R125" s="16" t="s">
        <v>773</v>
      </c>
      <c r="S125" s="17"/>
      <c r="T125" s="17"/>
      <c r="U125" s="20"/>
      <c r="V125" s="17"/>
      <c r="W125" s="17"/>
      <c r="X125" s="17"/>
      <c r="Y125" s="17"/>
      <c r="Z125" s="17"/>
      <c r="AA125" s="17"/>
      <c r="AB125" s="17"/>
      <c r="AC125" s="17"/>
      <c r="AD125" s="20"/>
      <c r="AE125" s="16" t="s">
        <v>886</v>
      </c>
      <c r="AF125" s="21">
        <v>46146.55186371528</v>
      </c>
      <c r="AG125" s="16" t="s">
        <v>480</v>
      </c>
      <c r="AH125" s="16"/>
      <c r="AI125" s="16"/>
      <c r="AJ125" s="16"/>
      <c r="AK125" s="16"/>
      <c r="AL125" s="16"/>
      <c r="AM125" s="16"/>
      <c r="AN125" s="16"/>
      <c r="AO125" s="16"/>
    </row>
    <row r="126" ht="15.75" customHeight="1">
      <c r="A126" s="16" t="s">
        <v>887</v>
      </c>
      <c r="B126" s="16" t="s">
        <v>468</v>
      </c>
      <c r="C126" s="16" t="s">
        <v>469</v>
      </c>
      <c r="D126" s="16" t="s">
        <v>888</v>
      </c>
      <c r="E126" s="16" t="s">
        <v>471</v>
      </c>
      <c r="F126" s="16" t="s">
        <v>472</v>
      </c>
      <c r="G126" s="16" t="s">
        <v>889</v>
      </c>
      <c r="H126" s="16" t="s">
        <v>890</v>
      </c>
      <c r="I126" s="16" t="s">
        <v>891</v>
      </c>
      <c r="J126" s="17"/>
      <c r="K126" s="16" t="s">
        <v>892</v>
      </c>
      <c r="L126" s="18" t="s">
        <v>893</v>
      </c>
      <c r="M126" s="18" t="s">
        <v>893</v>
      </c>
      <c r="N126" s="16" t="s">
        <v>166</v>
      </c>
      <c r="O126" s="16" t="s">
        <v>81</v>
      </c>
      <c r="P126" s="16" t="s">
        <v>82</v>
      </c>
      <c r="Q126" s="19">
        <v>46146.20526416667</v>
      </c>
      <c r="R126" s="17"/>
      <c r="S126" s="17"/>
      <c r="T126" s="17"/>
      <c r="U126" s="20"/>
      <c r="V126" s="17"/>
      <c r="W126" s="16" t="s">
        <v>892</v>
      </c>
      <c r="X126" s="17"/>
      <c r="Y126" s="17"/>
      <c r="Z126" s="17"/>
      <c r="AA126" s="17"/>
      <c r="AB126" s="17"/>
      <c r="AC126" s="17"/>
      <c r="AD126" s="20"/>
      <c r="AE126" s="16" t="s">
        <v>894</v>
      </c>
      <c r="AF126" s="21">
        <v>46146.55186371528</v>
      </c>
      <c r="AG126" s="16" t="s">
        <v>480</v>
      </c>
      <c r="AH126" s="16"/>
      <c r="AI126" s="16"/>
      <c r="AJ126" s="16"/>
      <c r="AK126" s="16"/>
      <c r="AL126" s="16"/>
      <c r="AM126" s="16"/>
      <c r="AN126" s="16"/>
      <c r="AO126" s="16"/>
    </row>
    <row r="127" ht="15.75" customHeight="1">
      <c r="A127" s="16" t="s">
        <v>895</v>
      </c>
      <c r="B127" s="16" t="s">
        <v>468</v>
      </c>
      <c r="C127" s="16" t="s">
        <v>469</v>
      </c>
      <c r="D127" s="16" t="s">
        <v>896</v>
      </c>
      <c r="E127" s="16" t="s">
        <v>471</v>
      </c>
      <c r="F127" s="16" t="s">
        <v>472</v>
      </c>
      <c r="G127" s="16" t="s">
        <v>87</v>
      </c>
      <c r="H127" s="17"/>
      <c r="I127" s="16" t="s">
        <v>897</v>
      </c>
      <c r="J127" s="17"/>
      <c r="K127" s="17"/>
      <c r="L127" s="18" t="s">
        <v>898</v>
      </c>
      <c r="M127" s="18" t="s">
        <v>898</v>
      </c>
      <c r="N127" s="16" t="s">
        <v>80</v>
      </c>
      <c r="O127" s="16" t="s">
        <v>81</v>
      </c>
      <c r="P127" s="16" t="s">
        <v>82</v>
      </c>
      <c r="Q127" s="19">
        <v>46146.206579687496</v>
      </c>
      <c r="R127" s="17"/>
      <c r="S127" s="17"/>
      <c r="T127" s="17"/>
      <c r="U127" s="20"/>
      <c r="V127" s="17"/>
      <c r="W127" s="17"/>
      <c r="X127" s="17"/>
      <c r="Y127" s="17"/>
      <c r="Z127" s="17"/>
      <c r="AA127" s="17"/>
      <c r="AB127" s="17"/>
      <c r="AC127" s="17"/>
      <c r="AD127" s="20"/>
      <c r="AE127" s="16" t="s">
        <v>899</v>
      </c>
      <c r="AF127" s="21">
        <v>46146.55186371528</v>
      </c>
      <c r="AG127" s="16" t="s">
        <v>480</v>
      </c>
      <c r="AH127" s="16"/>
      <c r="AI127" s="16"/>
      <c r="AJ127" s="16"/>
      <c r="AK127" s="16"/>
      <c r="AL127" s="16"/>
      <c r="AM127" s="16"/>
      <c r="AN127" s="16"/>
      <c r="AO127" s="16"/>
    </row>
    <row r="128" ht="15.75" customHeight="1">
      <c r="A128" s="16" t="s">
        <v>900</v>
      </c>
      <c r="B128" s="16" t="s">
        <v>468</v>
      </c>
      <c r="C128" s="16" t="s">
        <v>469</v>
      </c>
      <c r="D128" s="16" t="s">
        <v>901</v>
      </c>
      <c r="E128" s="16" t="s">
        <v>471</v>
      </c>
      <c r="F128" s="16" t="s">
        <v>472</v>
      </c>
      <c r="G128" s="16" t="s">
        <v>902</v>
      </c>
      <c r="H128" s="16" t="s">
        <v>903</v>
      </c>
      <c r="I128" s="16" t="s">
        <v>904</v>
      </c>
      <c r="J128" s="17"/>
      <c r="K128" s="16" t="s">
        <v>905</v>
      </c>
      <c r="L128" s="18" t="s">
        <v>906</v>
      </c>
      <c r="M128" s="18" t="s">
        <v>906</v>
      </c>
      <c r="N128" s="16" t="s">
        <v>166</v>
      </c>
      <c r="O128" s="16" t="s">
        <v>81</v>
      </c>
      <c r="P128" s="16" t="s">
        <v>82</v>
      </c>
      <c r="Q128" s="19">
        <v>46146.20526121528</v>
      </c>
      <c r="R128" s="17"/>
      <c r="S128" s="17"/>
      <c r="T128" s="17"/>
      <c r="U128" s="20"/>
      <c r="V128" s="17"/>
      <c r="W128" s="16" t="s">
        <v>905</v>
      </c>
      <c r="X128" s="17"/>
      <c r="Y128" s="17"/>
      <c r="Z128" s="17"/>
      <c r="AA128" s="17"/>
      <c r="AB128" s="17"/>
      <c r="AC128" s="17"/>
      <c r="AD128" s="20"/>
      <c r="AE128" s="16" t="s">
        <v>907</v>
      </c>
      <c r="AF128" s="21">
        <v>46146.55186371528</v>
      </c>
      <c r="AG128" s="16" t="s">
        <v>480</v>
      </c>
      <c r="AH128" s="16"/>
      <c r="AI128" s="16"/>
      <c r="AJ128" s="16"/>
      <c r="AK128" s="16"/>
      <c r="AL128" s="16"/>
      <c r="AM128" s="16"/>
      <c r="AN128" s="16"/>
      <c r="AO128" s="16"/>
    </row>
    <row r="129" ht="15.75" customHeight="1">
      <c r="A129" s="16" t="s">
        <v>908</v>
      </c>
      <c r="B129" s="16" t="s">
        <v>468</v>
      </c>
      <c r="C129" s="16" t="s">
        <v>469</v>
      </c>
      <c r="D129" s="16" t="s">
        <v>909</v>
      </c>
      <c r="E129" s="16" t="s">
        <v>471</v>
      </c>
      <c r="F129" s="16" t="s">
        <v>472</v>
      </c>
      <c r="G129" s="16" t="s">
        <v>87</v>
      </c>
      <c r="H129" s="16" t="s">
        <v>910</v>
      </c>
      <c r="I129" s="16" t="s">
        <v>911</v>
      </c>
      <c r="J129" s="16" t="s">
        <v>912</v>
      </c>
      <c r="K129" s="16" t="s">
        <v>913</v>
      </c>
      <c r="L129" s="18" t="s">
        <v>914</v>
      </c>
      <c r="M129" s="18" t="s">
        <v>914</v>
      </c>
      <c r="N129" s="16" t="s">
        <v>80</v>
      </c>
      <c r="O129" s="16" t="s">
        <v>81</v>
      </c>
      <c r="P129" s="16" t="s">
        <v>82</v>
      </c>
      <c r="Q129" s="19">
        <v>46146.20658790509</v>
      </c>
      <c r="R129" s="17"/>
      <c r="S129" s="17"/>
      <c r="T129" s="17"/>
      <c r="U129" s="20"/>
      <c r="V129" s="17"/>
      <c r="W129" s="16" t="s">
        <v>913</v>
      </c>
      <c r="X129" s="17"/>
      <c r="Y129" s="17"/>
      <c r="Z129" s="17"/>
      <c r="AA129" s="17"/>
      <c r="AB129" s="17"/>
      <c r="AC129" s="17"/>
      <c r="AD129" s="20"/>
      <c r="AE129" s="16" t="s">
        <v>915</v>
      </c>
      <c r="AF129" s="21">
        <v>46146.55186371528</v>
      </c>
      <c r="AG129" s="16" t="s">
        <v>480</v>
      </c>
      <c r="AH129" s="16"/>
      <c r="AI129" s="16"/>
      <c r="AJ129" s="16"/>
      <c r="AK129" s="16"/>
      <c r="AL129" s="16"/>
      <c r="AM129" s="16"/>
      <c r="AN129" s="16"/>
      <c r="AO129" s="16"/>
    </row>
    <row r="130" ht="15.75" customHeight="1">
      <c r="A130" s="16" t="s">
        <v>916</v>
      </c>
      <c r="B130" s="16" t="s">
        <v>468</v>
      </c>
      <c r="C130" s="16" t="s">
        <v>469</v>
      </c>
      <c r="D130" s="16" t="s">
        <v>917</v>
      </c>
      <c r="E130" s="16" t="s">
        <v>471</v>
      </c>
      <c r="F130" s="16" t="s">
        <v>472</v>
      </c>
      <c r="G130" s="16" t="s">
        <v>918</v>
      </c>
      <c r="H130" s="17"/>
      <c r="I130" s="16" t="s">
        <v>919</v>
      </c>
      <c r="J130" s="17"/>
      <c r="K130" s="16" t="s">
        <v>920</v>
      </c>
      <c r="L130" s="18" t="s">
        <v>921</v>
      </c>
      <c r="M130" s="18" t="s">
        <v>921</v>
      </c>
      <c r="N130" s="16" t="s">
        <v>100</v>
      </c>
      <c r="O130" s="16" t="s">
        <v>101</v>
      </c>
      <c r="P130" s="16" t="s">
        <v>499</v>
      </c>
      <c r="Q130" s="20"/>
      <c r="R130" s="16" t="s">
        <v>500</v>
      </c>
      <c r="S130" s="17"/>
      <c r="T130" s="17"/>
      <c r="U130" s="20"/>
      <c r="V130" s="17"/>
      <c r="W130" s="16" t="s">
        <v>920</v>
      </c>
      <c r="X130" s="17"/>
      <c r="Y130" s="17"/>
      <c r="Z130" s="17"/>
      <c r="AA130" s="17"/>
      <c r="AB130" s="17"/>
      <c r="AC130" s="17"/>
      <c r="AD130" s="20"/>
      <c r="AE130" s="16" t="s">
        <v>922</v>
      </c>
      <c r="AF130" s="21">
        <v>46146.55186371528</v>
      </c>
      <c r="AG130" s="16" t="s">
        <v>480</v>
      </c>
      <c r="AH130" s="16"/>
      <c r="AI130" s="16"/>
      <c r="AJ130" s="16"/>
      <c r="AK130" s="16"/>
      <c r="AL130" s="16"/>
      <c r="AM130" s="16"/>
      <c r="AN130" s="16"/>
      <c r="AO130" s="16"/>
    </row>
    <row r="131" ht="15.75" customHeight="1">
      <c r="A131" s="16" t="s">
        <v>923</v>
      </c>
      <c r="B131" s="16" t="s">
        <v>468</v>
      </c>
      <c r="C131" s="16" t="s">
        <v>469</v>
      </c>
      <c r="D131" s="16" t="s">
        <v>924</v>
      </c>
      <c r="E131" s="16" t="s">
        <v>471</v>
      </c>
      <c r="F131" s="16" t="s">
        <v>472</v>
      </c>
      <c r="G131" s="16" t="s">
        <v>87</v>
      </c>
      <c r="H131" s="16" t="s">
        <v>925</v>
      </c>
      <c r="I131" s="16" t="s">
        <v>926</v>
      </c>
      <c r="J131" s="17"/>
      <c r="K131" s="16" t="s">
        <v>927</v>
      </c>
      <c r="L131" s="18" t="s">
        <v>928</v>
      </c>
      <c r="M131" s="18" t="s">
        <v>928</v>
      </c>
      <c r="N131" s="16" t="s">
        <v>80</v>
      </c>
      <c r="O131" s="16" t="s">
        <v>81</v>
      </c>
      <c r="P131" s="16" t="s">
        <v>82</v>
      </c>
      <c r="Q131" s="19">
        <v>46146.20659973379</v>
      </c>
      <c r="R131" s="17"/>
      <c r="S131" s="17"/>
      <c r="T131" s="17"/>
      <c r="U131" s="20"/>
      <c r="V131" s="17"/>
      <c r="W131" s="16" t="s">
        <v>927</v>
      </c>
      <c r="X131" s="17"/>
      <c r="Y131" s="17"/>
      <c r="Z131" s="17"/>
      <c r="AA131" s="17"/>
      <c r="AB131" s="17"/>
      <c r="AC131" s="17"/>
      <c r="AD131" s="20"/>
      <c r="AE131" s="16" t="s">
        <v>929</v>
      </c>
      <c r="AF131" s="21">
        <v>46146.55186371528</v>
      </c>
      <c r="AG131" s="16" t="s">
        <v>480</v>
      </c>
      <c r="AH131" s="16"/>
      <c r="AI131" s="16"/>
      <c r="AJ131" s="16"/>
      <c r="AK131" s="16"/>
      <c r="AL131" s="16"/>
      <c r="AM131" s="16"/>
      <c r="AN131" s="16"/>
      <c r="AO131" s="16"/>
    </row>
    <row r="132" ht="15.75" customHeight="1">
      <c r="A132" s="16" t="s">
        <v>930</v>
      </c>
      <c r="B132" s="16" t="s">
        <v>468</v>
      </c>
      <c r="C132" s="16" t="s">
        <v>469</v>
      </c>
      <c r="D132" s="16" t="s">
        <v>931</v>
      </c>
      <c r="E132" s="16" t="s">
        <v>471</v>
      </c>
      <c r="F132" s="16" t="s">
        <v>472</v>
      </c>
      <c r="G132" s="16" t="s">
        <v>932</v>
      </c>
      <c r="H132" s="17"/>
      <c r="I132" s="16" t="s">
        <v>933</v>
      </c>
      <c r="J132" s="17"/>
      <c r="K132" s="16" t="s">
        <v>934</v>
      </c>
      <c r="L132" s="18" t="s">
        <v>935</v>
      </c>
      <c r="M132" s="18" t="s">
        <v>935</v>
      </c>
      <c r="N132" s="16" t="s">
        <v>100</v>
      </c>
      <c r="O132" s="16" t="s">
        <v>81</v>
      </c>
      <c r="P132" s="16" t="s">
        <v>82</v>
      </c>
      <c r="Q132" s="19">
        <v>46146.20752315973</v>
      </c>
      <c r="R132" s="17"/>
      <c r="S132" s="17"/>
      <c r="T132" s="17"/>
      <c r="U132" s="20"/>
      <c r="V132" s="17"/>
      <c r="W132" s="16" t="s">
        <v>934</v>
      </c>
      <c r="X132" s="17"/>
      <c r="Y132" s="17"/>
      <c r="Z132" s="17"/>
      <c r="AA132" s="17"/>
      <c r="AB132" s="17"/>
      <c r="AC132" s="17"/>
      <c r="AD132" s="20"/>
      <c r="AE132" s="16" t="s">
        <v>936</v>
      </c>
      <c r="AF132" s="21">
        <v>46146.55186371528</v>
      </c>
      <c r="AG132" s="16" t="s">
        <v>480</v>
      </c>
      <c r="AH132" s="16"/>
      <c r="AI132" s="16"/>
      <c r="AJ132" s="16"/>
      <c r="AK132" s="16"/>
      <c r="AL132" s="16"/>
      <c r="AM132" s="16"/>
      <c r="AN132" s="16"/>
      <c r="AO132" s="16"/>
    </row>
    <row r="133" ht="15.75" customHeight="1">
      <c r="A133" s="16" t="s">
        <v>937</v>
      </c>
      <c r="B133" s="16" t="s">
        <v>468</v>
      </c>
      <c r="C133" s="16" t="s">
        <v>469</v>
      </c>
      <c r="D133" s="16" t="s">
        <v>938</v>
      </c>
      <c r="E133" s="16" t="s">
        <v>471</v>
      </c>
      <c r="F133" s="16" t="s">
        <v>472</v>
      </c>
      <c r="G133" s="16" t="s">
        <v>87</v>
      </c>
      <c r="H133" s="16" t="s">
        <v>939</v>
      </c>
      <c r="I133" s="16" t="s">
        <v>940</v>
      </c>
      <c r="J133" s="17"/>
      <c r="K133" s="16" t="s">
        <v>941</v>
      </c>
      <c r="L133" s="18" t="s">
        <v>942</v>
      </c>
      <c r="M133" s="18" t="s">
        <v>942</v>
      </c>
      <c r="N133" s="16" t="s">
        <v>166</v>
      </c>
      <c r="O133" s="16" t="s">
        <v>81</v>
      </c>
      <c r="P133" s="16" t="s">
        <v>82</v>
      </c>
      <c r="Q133" s="19">
        <v>46146.20447575231</v>
      </c>
      <c r="R133" s="17"/>
      <c r="S133" s="17"/>
      <c r="T133" s="17"/>
      <c r="U133" s="20"/>
      <c r="V133" s="17"/>
      <c r="W133" s="16" t="s">
        <v>941</v>
      </c>
      <c r="X133" s="17"/>
      <c r="Y133" s="17"/>
      <c r="Z133" s="17"/>
      <c r="AA133" s="17"/>
      <c r="AB133" s="17"/>
      <c r="AC133" s="17"/>
      <c r="AD133" s="20"/>
      <c r="AE133" s="16" t="s">
        <v>943</v>
      </c>
      <c r="AF133" s="21">
        <v>46146.55186371528</v>
      </c>
      <c r="AG133" s="16" t="s">
        <v>480</v>
      </c>
      <c r="AH133" s="16"/>
      <c r="AI133" s="16"/>
      <c r="AJ133" s="16"/>
      <c r="AK133" s="16"/>
      <c r="AL133" s="16"/>
      <c r="AM133" s="16"/>
      <c r="AN133" s="16"/>
      <c r="AO133" s="16"/>
    </row>
    <row r="134" ht="15.75" customHeight="1">
      <c r="A134" s="16" t="s">
        <v>944</v>
      </c>
      <c r="B134" s="16" t="s">
        <v>468</v>
      </c>
      <c r="C134" s="16" t="s">
        <v>469</v>
      </c>
      <c r="D134" s="16" t="s">
        <v>945</v>
      </c>
      <c r="E134" s="16" t="s">
        <v>471</v>
      </c>
      <c r="F134" s="16" t="s">
        <v>472</v>
      </c>
      <c r="G134" s="16" t="s">
        <v>87</v>
      </c>
      <c r="H134" s="16" t="s">
        <v>946</v>
      </c>
      <c r="I134" s="16" t="s">
        <v>947</v>
      </c>
      <c r="J134" s="17"/>
      <c r="K134" s="16" t="s">
        <v>948</v>
      </c>
      <c r="L134" s="18" t="s">
        <v>949</v>
      </c>
      <c r="M134" s="18" t="s">
        <v>949</v>
      </c>
      <c r="N134" s="16" t="s">
        <v>80</v>
      </c>
      <c r="O134" s="16" t="s">
        <v>81</v>
      </c>
      <c r="P134" s="16" t="s">
        <v>82</v>
      </c>
      <c r="Q134" s="19">
        <v>46146.205320810186</v>
      </c>
      <c r="R134" s="17"/>
      <c r="S134" s="17"/>
      <c r="T134" s="17"/>
      <c r="U134" s="20"/>
      <c r="V134" s="17"/>
      <c r="W134" s="16" t="s">
        <v>948</v>
      </c>
      <c r="X134" s="17"/>
      <c r="Y134" s="17"/>
      <c r="Z134" s="17"/>
      <c r="AA134" s="17"/>
      <c r="AB134" s="17"/>
      <c r="AC134" s="17"/>
      <c r="AD134" s="20"/>
      <c r="AE134" s="16" t="s">
        <v>950</v>
      </c>
      <c r="AF134" s="21">
        <v>46146.55186371528</v>
      </c>
      <c r="AG134" s="16" t="s">
        <v>480</v>
      </c>
      <c r="AH134" s="16"/>
      <c r="AI134" s="16"/>
      <c r="AJ134" s="16"/>
      <c r="AK134" s="16"/>
      <c r="AL134" s="16"/>
      <c r="AM134" s="16"/>
      <c r="AN134" s="16"/>
      <c r="AO134" s="16"/>
    </row>
    <row r="135" ht="15.75" customHeight="1">
      <c r="A135" s="16" t="s">
        <v>951</v>
      </c>
      <c r="B135" s="16" t="s">
        <v>468</v>
      </c>
      <c r="C135" s="16" t="s">
        <v>469</v>
      </c>
      <c r="D135" s="16" t="s">
        <v>952</v>
      </c>
      <c r="E135" s="16" t="s">
        <v>471</v>
      </c>
      <c r="F135" s="16" t="s">
        <v>472</v>
      </c>
      <c r="G135" s="16" t="s">
        <v>87</v>
      </c>
      <c r="H135" s="16" t="s">
        <v>953</v>
      </c>
      <c r="I135" s="16" t="s">
        <v>954</v>
      </c>
      <c r="J135" s="17"/>
      <c r="K135" s="16" t="s">
        <v>955</v>
      </c>
      <c r="L135" s="18" t="s">
        <v>956</v>
      </c>
      <c r="M135" s="18" t="s">
        <v>956</v>
      </c>
      <c r="N135" s="16" t="s">
        <v>166</v>
      </c>
      <c r="O135" s="16" t="s">
        <v>81</v>
      </c>
      <c r="P135" s="16" t="s">
        <v>82</v>
      </c>
      <c r="Q135" s="19">
        <v>46146.20453378472</v>
      </c>
      <c r="R135" s="17"/>
      <c r="S135" s="17"/>
      <c r="T135" s="17"/>
      <c r="U135" s="20"/>
      <c r="V135" s="17"/>
      <c r="W135" s="16" t="s">
        <v>955</v>
      </c>
      <c r="X135" s="17"/>
      <c r="Y135" s="17"/>
      <c r="Z135" s="17"/>
      <c r="AA135" s="17"/>
      <c r="AB135" s="17"/>
      <c r="AC135" s="17"/>
      <c r="AD135" s="20"/>
      <c r="AE135" s="16" t="s">
        <v>957</v>
      </c>
      <c r="AF135" s="21">
        <v>46146.55186371528</v>
      </c>
      <c r="AG135" s="16" t="s">
        <v>480</v>
      </c>
      <c r="AH135" s="16"/>
      <c r="AI135" s="16"/>
      <c r="AJ135" s="16"/>
      <c r="AK135" s="16"/>
      <c r="AL135" s="16"/>
      <c r="AM135" s="16"/>
      <c r="AN135" s="16"/>
      <c r="AO135" s="16"/>
    </row>
    <row r="136" ht="15.75" customHeight="1">
      <c r="A136" s="16" t="s">
        <v>958</v>
      </c>
      <c r="B136" s="16" t="s">
        <v>468</v>
      </c>
      <c r="C136" s="16" t="s">
        <v>469</v>
      </c>
      <c r="D136" s="16" t="s">
        <v>959</v>
      </c>
      <c r="E136" s="16" t="s">
        <v>471</v>
      </c>
      <c r="F136" s="16" t="s">
        <v>472</v>
      </c>
      <c r="G136" s="16" t="s">
        <v>932</v>
      </c>
      <c r="H136" s="16" t="s">
        <v>960</v>
      </c>
      <c r="I136" s="17"/>
      <c r="J136" s="17"/>
      <c r="K136" s="17"/>
      <c r="L136" s="18" t="s">
        <v>961</v>
      </c>
      <c r="M136" s="18" t="s">
        <v>961</v>
      </c>
      <c r="N136" s="16" t="s">
        <v>100</v>
      </c>
      <c r="O136" s="16" t="s">
        <v>101</v>
      </c>
      <c r="P136" s="16" t="s">
        <v>102</v>
      </c>
      <c r="Q136" s="20"/>
      <c r="R136" s="16" t="s">
        <v>773</v>
      </c>
      <c r="S136" s="17"/>
      <c r="T136" s="17"/>
      <c r="U136" s="20"/>
      <c r="V136" s="17"/>
      <c r="W136" s="17"/>
      <c r="X136" s="17"/>
      <c r="Y136" s="17"/>
      <c r="Z136" s="17"/>
      <c r="AA136" s="17"/>
      <c r="AB136" s="17"/>
      <c r="AC136" s="17"/>
      <c r="AD136" s="20"/>
      <c r="AE136" s="16" t="s">
        <v>962</v>
      </c>
      <c r="AF136" s="21">
        <v>46146.55186371528</v>
      </c>
      <c r="AG136" s="16" t="s">
        <v>480</v>
      </c>
      <c r="AH136" s="16"/>
      <c r="AI136" s="16"/>
      <c r="AJ136" s="16"/>
      <c r="AK136" s="16"/>
      <c r="AL136" s="16"/>
      <c r="AM136" s="16"/>
      <c r="AN136" s="16"/>
      <c r="AO136" s="16"/>
    </row>
    <row r="137" ht="15.75" customHeight="1">
      <c r="A137" s="16" t="s">
        <v>963</v>
      </c>
      <c r="B137" s="16" t="s">
        <v>468</v>
      </c>
      <c r="C137" s="16" t="s">
        <v>469</v>
      </c>
      <c r="D137" s="16" t="s">
        <v>964</v>
      </c>
      <c r="E137" s="16" t="s">
        <v>471</v>
      </c>
      <c r="F137" s="16" t="s">
        <v>472</v>
      </c>
      <c r="G137" s="16" t="s">
        <v>87</v>
      </c>
      <c r="H137" s="16" t="s">
        <v>965</v>
      </c>
      <c r="I137" s="16" t="s">
        <v>966</v>
      </c>
      <c r="J137" s="17"/>
      <c r="K137" s="17"/>
      <c r="L137" s="18" t="s">
        <v>967</v>
      </c>
      <c r="M137" s="18" t="s">
        <v>967</v>
      </c>
      <c r="N137" s="16" t="s">
        <v>80</v>
      </c>
      <c r="O137" s="16" t="s">
        <v>81</v>
      </c>
      <c r="P137" s="16" t="s">
        <v>82</v>
      </c>
      <c r="Q137" s="19">
        <v>46146.20661018518</v>
      </c>
      <c r="R137" s="17"/>
      <c r="S137" s="17"/>
      <c r="T137" s="17"/>
      <c r="U137" s="20"/>
      <c r="V137" s="17"/>
      <c r="W137" s="17"/>
      <c r="X137" s="17"/>
      <c r="Y137" s="17"/>
      <c r="Z137" s="17"/>
      <c r="AA137" s="17"/>
      <c r="AB137" s="17"/>
      <c r="AC137" s="17"/>
      <c r="AD137" s="20"/>
      <c r="AE137" s="16" t="s">
        <v>968</v>
      </c>
      <c r="AF137" s="21">
        <v>46146.55186371528</v>
      </c>
      <c r="AG137" s="16" t="s">
        <v>480</v>
      </c>
      <c r="AH137" s="16"/>
      <c r="AI137" s="16"/>
      <c r="AJ137" s="16"/>
      <c r="AK137" s="16"/>
      <c r="AL137" s="16"/>
      <c r="AM137" s="16"/>
      <c r="AN137" s="16"/>
      <c r="AO137" s="16"/>
    </row>
    <row r="138" ht="15.75" customHeight="1">
      <c r="A138" s="16" t="s">
        <v>969</v>
      </c>
      <c r="B138" s="16" t="s">
        <v>468</v>
      </c>
      <c r="C138" s="16" t="s">
        <v>469</v>
      </c>
      <c r="D138" s="16" t="s">
        <v>970</v>
      </c>
      <c r="E138" s="16" t="s">
        <v>471</v>
      </c>
      <c r="F138" s="16" t="s">
        <v>472</v>
      </c>
      <c r="G138" s="16" t="s">
        <v>87</v>
      </c>
      <c r="H138" s="16" t="s">
        <v>971</v>
      </c>
      <c r="I138" s="16" t="s">
        <v>972</v>
      </c>
      <c r="J138" s="16" t="s">
        <v>973</v>
      </c>
      <c r="K138" s="16" t="s">
        <v>974</v>
      </c>
      <c r="L138" s="18" t="s">
        <v>975</v>
      </c>
      <c r="M138" s="18" t="s">
        <v>975</v>
      </c>
      <c r="N138" s="16" t="s">
        <v>166</v>
      </c>
      <c r="O138" s="16" t="s">
        <v>81</v>
      </c>
      <c r="P138" s="16" t="s">
        <v>82</v>
      </c>
      <c r="Q138" s="19">
        <v>46146.20453658565</v>
      </c>
      <c r="R138" s="17"/>
      <c r="S138" s="17"/>
      <c r="T138" s="17"/>
      <c r="U138" s="20"/>
      <c r="V138" s="17"/>
      <c r="W138" s="16" t="s">
        <v>974</v>
      </c>
      <c r="X138" s="17"/>
      <c r="Y138" s="17"/>
      <c r="Z138" s="17"/>
      <c r="AA138" s="17"/>
      <c r="AB138" s="17"/>
      <c r="AC138" s="17"/>
      <c r="AD138" s="20"/>
      <c r="AE138" s="16" t="s">
        <v>976</v>
      </c>
      <c r="AF138" s="21">
        <v>46146.55186371528</v>
      </c>
      <c r="AG138" s="16" t="s">
        <v>480</v>
      </c>
      <c r="AH138" s="16"/>
      <c r="AI138" s="16"/>
      <c r="AJ138" s="16"/>
      <c r="AK138" s="16"/>
      <c r="AL138" s="16"/>
      <c r="AM138" s="16"/>
      <c r="AN138" s="16"/>
      <c r="AO138" s="16"/>
    </row>
    <row r="139" ht="15.75" customHeight="1">
      <c r="A139" s="16" t="s">
        <v>977</v>
      </c>
      <c r="B139" s="16" t="s">
        <v>468</v>
      </c>
      <c r="C139" s="16" t="s">
        <v>469</v>
      </c>
      <c r="D139" s="16" t="s">
        <v>978</v>
      </c>
      <c r="E139" s="16" t="s">
        <v>471</v>
      </c>
      <c r="F139" s="16" t="s">
        <v>472</v>
      </c>
      <c r="G139" s="16" t="s">
        <v>662</v>
      </c>
      <c r="H139" s="16" t="s">
        <v>979</v>
      </c>
      <c r="I139" s="16" t="s">
        <v>980</v>
      </c>
      <c r="J139" s="16" t="s">
        <v>981</v>
      </c>
      <c r="K139" s="16" t="s">
        <v>982</v>
      </c>
      <c r="L139" s="18" t="s">
        <v>983</v>
      </c>
      <c r="M139" s="18" t="s">
        <v>983</v>
      </c>
      <c r="N139" s="16" t="s">
        <v>166</v>
      </c>
      <c r="O139" s="16" t="s">
        <v>81</v>
      </c>
      <c r="P139" s="16" t="s">
        <v>82</v>
      </c>
      <c r="Q139" s="19">
        <v>46146.205271307874</v>
      </c>
      <c r="R139" s="17"/>
      <c r="S139" s="17"/>
      <c r="T139" s="17"/>
      <c r="U139" s="20"/>
      <c r="V139" s="17"/>
      <c r="W139" s="16" t="s">
        <v>982</v>
      </c>
      <c r="X139" s="17"/>
      <c r="Y139" s="17"/>
      <c r="Z139" s="17"/>
      <c r="AA139" s="17"/>
      <c r="AB139" s="17"/>
      <c r="AC139" s="17"/>
      <c r="AD139" s="20"/>
      <c r="AE139" s="16" t="s">
        <v>882</v>
      </c>
      <c r="AF139" s="21">
        <v>46146.55186371528</v>
      </c>
      <c r="AG139" s="16" t="s">
        <v>480</v>
      </c>
      <c r="AH139" s="16"/>
      <c r="AI139" s="16"/>
      <c r="AJ139" s="16"/>
      <c r="AK139" s="16"/>
      <c r="AL139" s="16"/>
      <c r="AM139" s="16"/>
      <c r="AN139" s="16"/>
      <c r="AO139" s="16"/>
    </row>
    <row r="140" ht="15.75" customHeight="1">
      <c r="A140" s="16" t="s">
        <v>984</v>
      </c>
      <c r="B140" s="16" t="s">
        <v>468</v>
      </c>
      <c r="C140" s="16" t="s">
        <v>469</v>
      </c>
      <c r="D140" s="16" t="s">
        <v>985</v>
      </c>
      <c r="E140" s="16" t="s">
        <v>471</v>
      </c>
      <c r="F140" s="16" t="s">
        <v>472</v>
      </c>
      <c r="G140" s="16" t="s">
        <v>87</v>
      </c>
      <c r="H140" s="16" t="s">
        <v>986</v>
      </c>
      <c r="I140" s="16" t="s">
        <v>987</v>
      </c>
      <c r="J140" s="16" t="s">
        <v>988</v>
      </c>
      <c r="K140" s="16" t="s">
        <v>989</v>
      </c>
      <c r="L140" s="18" t="s">
        <v>990</v>
      </c>
      <c r="M140" s="18" t="s">
        <v>991</v>
      </c>
      <c r="N140" s="16" t="s">
        <v>80</v>
      </c>
      <c r="O140" s="16" t="s">
        <v>81</v>
      </c>
      <c r="P140" s="16" t="s">
        <v>82</v>
      </c>
      <c r="Q140" s="19">
        <v>46146.20662262732</v>
      </c>
      <c r="R140" s="17"/>
      <c r="S140" s="17"/>
      <c r="T140" s="17"/>
      <c r="U140" s="20"/>
      <c r="V140" s="17"/>
      <c r="W140" s="16" t="s">
        <v>989</v>
      </c>
      <c r="X140" s="17"/>
      <c r="Y140" s="17"/>
      <c r="Z140" s="17"/>
      <c r="AA140" s="17"/>
      <c r="AB140" s="17"/>
      <c r="AC140" s="17"/>
      <c r="AD140" s="20"/>
      <c r="AE140" s="16" t="s">
        <v>992</v>
      </c>
      <c r="AF140" s="21">
        <v>46146.55186371528</v>
      </c>
      <c r="AG140" s="16" t="s">
        <v>480</v>
      </c>
      <c r="AH140" s="16"/>
      <c r="AI140" s="16"/>
      <c r="AJ140" s="16"/>
      <c r="AK140" s="16"/>
      <c r="AL140" s="16"/>
      <c r="AM140" s="16"/>
      <c r="AN140" s="16"/>
      <c r="AO140" s="16"/>
    </row>
    <row r="141" ht="15.75" customHeight="1">
      <c r="A141" s="16" t="s">
        <v>993</v>
      </c>
      <c r="B141" s="16" t="s">
        <v>468</v>
      </c>
      <c r="C141" s="16" t="s">
        <v>469</v>
      </c>
      <c r="D141" s="16" t="s">
        <v>994</v>
      </c>
      <c r="E141" s="16" t="s">
        <v>471</v>
      </c>
      <c r="F141" s="16" t="s">
        <v>472</v>
      </c>
      <c r="G141" s="16" t="s">
        <v>87</v>
      </c>
      <c r="H141" s="16" t="s">
        <v>995</v>
      </c>
      <c r="I141" s="16" t="s">
        <v>996</v>
      </c>
      <c r="J141" s="16" t="s">
        <v>997</v>
      </c>
      <c r="K141" s="16" t="s">
        <v>998</v>
      </c>
      <c r="L141" s="18" t="s">
        <v>999</v>
      </c>
      <c r="M141" s="18" t="s">
        <v>999</v>
      </c>
      <c r="N141" s="16" t="s">
        <v>80</v>
      </c>
      <c r="O141" s="16" t="s">
        <v>81</v>
      </c>
      <c r="P141" s="16" t="s">
        <v>82</v>
      </c>
      <c r="Q141" s="19">
        <v>46146.206648611114</v>
      </c>
      <c r="R141" s="17"/>
      <c r="S141" s="17"/>
      <c r="T141" s="17"/>
      <c r="U141" s="20"/>
      <c r="V141" s="17"/>
      <c r="W141" s="16" t="s">
        <v>998</v>
      </c>
      <c r="X141" s="17"/>
      <c r="Y141" s="17"/>
      <c r="Z141" s="17"/>
      <c r="AA141" s="17"/>
      <c r="AB141" s="17"/>
      <c r="AC141" s="17"/>
      <c r="AD141" s="20"/>
      <c r="AE141" s="16" t="s">
        <v>1000</v>
      </c>
      <c r="AF141" s="21">
        <v>46146.55186371528</v>
      </c>
      <c r="AG141" s="16" t="s">
        <v>480</v>
      </c>
      <c r="AH141" s="16"/>
      <c r="AI141" s="16"/>
      <c r="AJ141" s="16"/>
      <c r="AK141" s="16"/>
      <c r="AL141" s="16"/>
      <c r="AM141" s="16"/>
      <c r="AN141" s="16"/>
      <c r="AO141" s="16"/>
    </row>
    <row r="142" ht="15.75" customHeight="1">
      <c r="A142" s="16" t="s">
        <v>1001</v>
      </c>
      <c r="B142" s="16" t="s">
        <v>468</v>
      </c>
      <c r="C142" s="16" t="s">
        <v>469</v>
      </c>
      <c r="D142" s="16" t="s">
        <v>1002</v>
      </c>
      <c r="E142" s="16" t="s">
        <v>471</v>
      </c>
      <c r="F142" s="16" t="s">
        <v>472</v>
      </c>
      <c r="G142" s="16" t="s">
        <v>1003</v>
      </c>
      <c r="H142" s="16" t="s">
        <v>1004</v>
      </c>
      <c r="I142" s="16" t="s">
        <v>1005</v>
      </c>
      <c r="J142" s="17"/>
      <c r="K142" s="16" t="s">
        <v>1006</v>
      </c>
      <c r="L142" s="18" t="s">
        <v>1007</v>
      </c>
      <c r="M142" s="18" t="s">
        <v>1007</v>
      </c>
      <c r="N142" s="16" t="s">
        <v>166</v>
      </c>
      <c r="O142" s="16" t="s">
        <v>81</v>
      </c>
      <c r="P142" s="16" t="s">
        <v>82</v>
      </c>
      <c r="Q142" s="19">
        <v>46146.204594131945</v>
      </c>
      <c r="R142" s="17"/>
      <c r="S142" s="17"/>
      <c r="T142" s="17"/>
      <c r="U142" s="20"/>
      <c r="V142" s="17"/>
      <c r="W142" s="16" t="s">
        <v>1006</v>
      </c>
      <c r="X142" s="17"/>
      <c r="Y142" s="17"/>
      <c r="Z142" s="17"/>
      <c r="AA142" s="17"/>
      <c r="AB142" s="17"/>
      <c r="AC142" s="17"/>
      <c r="AD142" s="20"/>
      <c r="AE142" s="16" t="s">
        <v>907</v>
      </c>
      <c r="AF142" s="21">
        <v>46146.55186371528</v>
      </c>
      <c r="AG142" s="16" t="s">
        <v>480</v>
      </c>
      <c r="AH142" s="16"/>
      <c r="AI142" s="16"/>
      <c r="AJ142" s="16"/>
      <c r="AK142" s="16"/>
      <c r="AL142" s="16"/>
      <c r="AM142" s="16"/>
      <c r="AN142" s="16"/>
      <c r="AO142" s="16"/>
    </row>
    <row r="143" ht="15.75" customHeight="1">
      <c r="A143" s="16" t="s">
        <v>1008</v>
      </c>
      <c r="B143" s="16" t="s">
        <v>468</v>
      </c>
      <c r="C143" s="16" t="s">
        <v>469</v>
      </c>
      <c r="D143" s="16" t="s">
        <v>1009</v>
      </c>
      <c r="E143" s="16" t="s">
        <v>471</v>
      </c>
      <c r="F143" s="16" t="s">
        <v>472</v>
      </c>
      <c r="G143" s="16" t="s">
        <v>87</v>
      </c>
      <c r="H143" s="16" t="s">
        <v>1010</v>
      </c>
      <c r="I143" s="16" t="s">
        <v>1011</v>
      </c>
      <c r="J143" s="16" t="s">
        <v>1012</v>
      </c>
      <c r="K143" s="16" t="s">
        <v>1013</v>
      </c>
      <c r="L143" s="18" t="s">
        <v>1014</v>
      </c>
      <c r="M143" s="18" t="s">
        <v>1014</v>
      </c>
      <c r="N143" s="16" t="s">
        <v>166</v>
      </c>
      <c r="O143" s="16" t="s">
        <v>81</v>
      </c>
      <c r="P143" s="16" t="s">
        <v>82</v>
      </c>
      <c r="Q143" s="19">
        <v>46146.20448446759</v>
      </c>
      <c r="R143" s="17"/>
      <c r="S143" s="17"/>
      <c r="T143" s="17"/>
      <c r="U143" s="20"/>
      <c r="V143" s="17"/>
      <c r="W143" s="16" t="s">
        <v>1013</v>
      </c>
      <c r="X143" s="17"/>
      <c r="Y143" s="17"/>
      <c r="Z143" s="17"/>
      <c r="AA143" s="17"/>
      <c r="AB143" s="17"/>
      <c r="AC143" s="17"/>
      <c r="AD143" s="20"/>
      <c r="AE143" s="16" t="s">
        <v>1015</v>
      </c>
      <c r="AF143" s="21">
        <v>46146.55186371528</v>
      </c>
      <c r="AG143" s="16" t="s">
        <v>480</v>
      </c>
      <c r="AH143" s="16"/>
      <c r="AI143" s="16"/>
      <c r="AJ143" s="16"/>
      <c r="AK143" s="16"/>
      <c r="AL143" s="16"/>
      <c r="AM143" s="16"/>
      <c r="AN143" s="16"/>
      <c r="AO143" s="16"/>
    </row>
    <row r="144" ht="15.75" customHeight="1">
      <c r="A144" s="16" t="s">
        <v>1016</v>
      </c>
      <c r="B144" s="16" t="s">
        <v>468</v>
      </c>
      <c r="C144" s="16" t="s">
        <v>469</v>
      </c>
      <c r="D144" s="16" t="s">
        <v>1017</v>
      </c>
      <c r="E144" s="16" t="s">
        <v>471</v>
      </c>
      <c r="F144" s="16" t="s">
        <v>472</v>
      </c>
      <c r="G144" s="16" t="s">
        <v>642</v>
      </c>
      <c r="H144" s="16" t="s">
        <v>1018</v>
      </c>
      <c r="I144" s="16" t="s">
        <v>1019</v>
      </c>
      <c r="J144" s="17"/>
      <c r="K144" s="16" t="s">
        <v>1020</v>
      </c>
      <c r="L144" s="18" t="s">
        <v>1021</v>
      </c>
      <c r="M144" s="18" t="s">
        <v>1021</v>
      </c>
      <c r="N144" s="16" t="s">
        <v>100</v>
      </c>
      <c r="O144" s="16" t="s">
        <v>81</v>
      </c>
      <c r="P144" s="16" t="s">
        <v>82</v>
      </c>
      <c r="Q144" s="19">
        <v>46146.207436701385</v>
      </c>
      <c r="R144" s="17"/>
      <c r="S144" s="17"/>
      <c r="T144" s="17"/>
      <c r="U144" s="20"/>
      <c r="V144" s="17"/>
      <c r="W144" s="16" t="s">
        <v>1020</v>
      </c>
      <c r="X144" s="17"/>
      <c r="Y144" s="17"/>
      <c r="Z144" s="17"/>
      <c r="AA144" s="17"/>
      <c r="AB144" s="17"/>
      <c r="AC144" s="17"/>
      <c r="AD144" s="20"/>
      <c r="AE144" s="16" t="s">
        <v>1022</v>
      </c>
      <c r="AF144" s="21">
        <v>46146.55186371528</v>
      </c>
      <c r="AG144" s="16" t="s">
        <v>480</v>
      </c>
      <c r="AH144" s="16"/>
      <c r="AI144" s="16"/>
      <c r="AJ144" s="16"/>
      <c r="AK144" s="16"/>
      <c r="AL144" s="16"/>
      <c r="AM144" s="16"/>
      <c r="AN144" s="16"/>
      <c r="AO144" s="16"/>
    </row>
    <row r="145" ht="15.75" customHeight="1">
      <c r="A145" s="16" t="s">
        <v>1023</v>
      </c>
      <c r="B145" s="16" t="s">
        <v>468</v>
      </c>
      <c r="C145" s="16" t="s">
        <v>469</v>
      </c>
      <c r="D145" s="16" t="s">
        <v>1024</v>
      </c>
      <c r="E145" s="16" t="s">
        <v>471</v>
      </c>
      <c r="F145" s="16" t="s">
        <v>472</v>
      </c>
      <c r="G145" s="16" t="s">
        <v>87</v>
      </c>
      <c r="H145" s="16" t="s">
        <v>1025</v>
      </c>
      <c r="I145" s="16" t="s">
        <v>1026</v>
      </c>
      <c r="J145" s="16" t="s">
        <v>1027</v>
      </c>
      <c r="K145" s="17"/>
      <c r="L145" s="18" t="s">
        <v>1028</v>
      </c>
      <c r="M145" s="18" t="s">
        <v>1028</v>
      </c>
      <c r="N145" s="16" t="s">
        <v>80</v>
      </c>
      <c r="O145" s="16" t="s">
        <v>81</v>
      </c>
      <c r="P145" s="16" t="s">
        <v>82</v>
      </c>
      <c r="Q145" s="19">
        <v>46146.20666059028</v>
      </c>
      <c r="R145" s="17"/>
      <c r="S145" s="17"/>
      <c r="T145" s="17"/>
      <c r="U145" s="20"/>
      <c r="V145" s="17"/>
      <c r="W145" s="17"/>
      <c r="X145" s="17"/>
      <c r="Y145" s="17"/>
      <c r="Z145" s="17"/>
      <c r="AA145" s="17"/>
      <c r="AB145" s="17"/>
      <c r="AC145" s="17"/>
      <c r="AD145" s="20"/>
      <c r="AE145" s="16" t="s">
        <v>1029</v>
      </c>
      <c r="AF145" s="21">
        <v>46146.55186371528</v>
      </c>
      <c r="AG145" s="16" t="s">
        <v>480</v>
      </c>
      <c r="AH145" s="16"/>
      <c r="AI145" s="16"/>
      <c r="AJ145" s="16"/>
      <c r="AK145" s="16"/>
      <c r="AL145" s="16"/>
      <c r="AM145" s="16"/>
      <c r="AN145" s="16"/>
      <c r="AO145" s="16"/>
    </row>
    <row r="146" ht="15.75" customHeight="1">
      <c r="T146" s="4"/>
      <c r="X146" s="4"/>
      <c r="AC146" s="4"/>
    </row>
    <row r="147" ht="15.75" customHeight="1">
      <c r="T147" s="4"/>
      <c r="X147" s="4"/>
      <c r="AC147" s="4"/>
    </row>
    <row r="148" ht="15.75" customHeight="1">
      <c r="T148" s="4"/>
      <c r="X148" s="4"/>
      <c r="AC148" s="4"/>
    </row>
    <row r="149" ht="15.75" customHeight="1">
      <c r="T149" s="4"/>
      <c r="X149" s="4"/>
      <c r="AC149" s="4"/>
    </row>
    <row r="150" ht="15.75" customHeight="1">
      <c r="T150" s="4"/>
      <c r="X150" s="4"/>
      <c r="AC150" s="4"/>
    </row>
    <row r="151" ht="15.75" customHeight="1">
      <c r="T151" s="4"/>
      <c r="X151" s="4"/>
      <c r="AC151" s="4"/>
    </row>
    <row r="152" ht="15.75" customHeight="1">
      <c r="T152" s="4"/>
      <c r="X152" s="4"/>
      <c r="AC152" s="4"/>
    </row>
    <row r="153" ht="15.75" customHeight="1">
      <c r="T153" s="4"/>
      <c r="X153" s="4"/>
      <c r="AC153" s="4"/>
    </row>
    <row r="154" ht="15.75" customHeight="1">
      <c r="T154" s="4"/>
      <c r="X154" s="4"/>
      <c r="AC154" s="4"/>
    </row>
    <row r="155" ht="15.75" customHeight="1">
      <c r="T155" s="4"/>
      <c r="X155" s="4"/>
      <c r="AC155" s="4"/>
    </row>
    <row r="156" ht="15.75" customHeight="1">
      <c r="T156" s="4"/>
      <c r="X156" s="4"/>
      <c r="AC156" s="4"/>
    </row>
    <row r="157" ht="15.75" customHeight="1">
      <c r="T157" s="4"/>
      <c r="X157" s="4"/>
      <c r="AC157" s="4"/>
    </row>
    <row r="158" ht="15.75" customHeight="1">
      <c r="T158" s="4"/>
      <c r="X158" s="4"/>
      <c r="AC158" s="4"/>
    </row>
    <row r="159" ht="15.75" customHeight="1">
      <c r="T159" s="4"/>
      <c r="X159" s="4"/>
      <c r="AC159" s="4"/>
    </row>
    <row r="160" ht="15.75" customHeight="1">
      <c r="T160" s="4"/>
      <c r="X160" s="4"/>
      <c r="AC160" s="4"/>
    </row>
    <row r="161" ht="15.75" customHeight="1">
      <c r="T161" s="4"/>
      <c r="X161" s="4"/>
      <c r="AC161" s="4"/>
    </row>
    <row r="162" ht="15.75" customHeight="1">
      <c r="T162" s="4"/>
      <c r="X162" s="4"/>
      <c r="AC162" s="4"/>
    </row>
    <row r="163" ht="15.75" customHeight="1">
      <c r="T163" s="4"/>
      <c r="X163" s="4"/>
      <c r="AC163" s="4"/>
    </row>
    <row r="164" ht="15.75" customHeight="1">
      <c r="T164" s="4"/>
      <c r="X164" s="4"/>
      <c r="AC164" s="4"/>
    </row>
    <row r="165" ht="15.75" customHeight="1">
      <c r="T165" s="4"/>
      <c r="X165" s="4"/>
      <c r="AC165" s="4"/>
    </row>
    <row r="166" ht="15.75" customHeight="1">
      <c r="T166" s="4"/>
      <c r="X166" s="4"/>
      <c r="AC166" s="4"/>
    </row>
    <row r="167" ht="15.75" customHeight="1">
      <c r="T167" s="4"/>
      <c r="X167" s="4"/>
      <c r="AC167" s="4"/>
    </row>
    <row r="168" ht="15.75" customHeight="1">
      <c r="T168" s="4"/>
      <c r="X168" s="4"/>
      <c r="AC168" s="4"/>
    </row>
    <row r="169" ht="15.75" customHeight="1">
      <c r="T169" s="4"/>
      <c r="X169" s="4"/>
      <c r="AC169" s="4"/>
    </row>
    <row r="170" ht="15.75" customHeight="1">
      <c r="T170" s="4"/>
      <c r="X170" s="4"/>
      <c r="AC170" s="4"/>
    </row>
    <row r="171" ht="15.75" customHeight="1">
      <c r="T171" s="4"/>
      <c r="X171" s="4"/>
      <c r="AC171" s="4"/>
    </row>
    <row r="172" ht="15.75" customHeight="1">
      <c r="T172" s="4"/>
      <c r="X172" s="4"/>
      <c r="AC172" s="4"/>
    </row>
    <row r="173" ht="15.75" customHeight="1">
      <c r="T173" s="4"/>
      <c r="X173" s="4"/>
      <c r="AC173" s="4"/>
    </row>
    <row r="174" ht="15.75" customHeight="1">
      <c r="T174" s="4"/>
      <c r="X174" s="4"/>
      <c r="AC174" s="4"/>
    </row>
    <row r="175" ht="15.75" customHeight="1">
      <c r="T175" s="4"/>
      <c r="X175" s="4"/>
      <c r="AC175" s="4"/>
    </row>
    <row r="176" ht="15.75" customHeight="1">
      <c r="T176" s="4"/>
      <c r="X176" s="4"/>
      <c r="AC176" s="4"/>
    </row>
    <row r="177" ht="15.75" customHeight="1">
      <c r="T177" s="4"/>
      <c r="X177" s="4"/>
      <c r="AC177" s="4"/>
    </row>
    <row r="178" ht="15.75" customHeight="1">
      <c r="T178" s="4"/>
      <c r="X178" s="4"/>
      <c r="AC178" s="4"/>
    </row>
    <row r="179" ht="15.75" customHeight="1">
      <c r="T179" s="4"/>
      <c r="X179" s="4"/>
      <c r="AC179" s="4"/>
    </row>
    <row r="180" ht="15.75" customHeight="1">
      <c r="T180" s="4"/>
      <c r="X180" s="4"/>
      <c r="AC180" s="4"/>
    </row>
    <row r="181" ht="15.75" customHeight="1">
      <c r="T181" s="4"/>
      <c r="X181" s="4"/>
      <c r="AC181" s="4"/>
    </row>
    <row r="182" ht="15.75" customHeight="1">
      <c r="T182" s="4"/>
      <c r="X182" s="4"/>
      <c r="AC182" s="4"/>
    </row>
    <row r="183" ht="15.75" customHeight="1">
      <c r="T183" s="4"/>
      <c r="X183" s="4"/>
      <c r="AC183" s="4"/>
    </row>
    <row r="184" ht="15.75" customHeight="1">
      <c r="T184" s="4"/>
      <c r="X184" s="4"/>
      <c r="AC184" s="4"/>
    </row>
    <row r="185" ht="15.75" customHeight="1">
      <c r="T185" s="4"/>
      <c r="X185" s="4"/>
      <c r="AC185" s="4"/>
    </row>
    <row r="186" ht="15.75" customHeight="1">
      <c r="T186" s="4"/>
      <c r="X186" s="4"/>
      <c r="AC186" s="4"/>
    </row>
    <row r="187" ht="15.75" customHeight="1">
      <c r="T187" s="4"/>
      <c r="X187" s="4"/>
      <c r="AC187" s="4"/>
    </row>
    <row r="188" ht="15.75" customHeight="1">
      <c r="T188" s="4"/>
      <c r="X188" s="4"/>
      <c r="AC188" s="4"/>
    </row>
    <row r="189" ht="15.75" customHeight="1">
      <c r="T189" s="4"/>
      <c r="X189" s="4"/>
      <c r="AC189" s="4"/>
    </row>
    <row r="190" ht="15.75" customHeight="1">
      <c r="T190" s="4"/>
      <c r="X190" s="4"/>
      <c r="AC190" s="4"/>
    </row>
    <row r="191" ht="15.75" customHeight="1">
      <c r="T191" s="4"/>
      <c r="X191" s="4"/>
      <c r="AC191" s="4"/>
    </row>
    <row r="192" ht="15.75" customHeight="1">
      <c r="T192" s="4"/>
      <c r="X192" s="4"/>
      <c r="AC192" s="4"/>
    </row>
    <row r="193" ht="15.75" customHeight="1">
      <c r="T193" s="4"/>
      <c r="X193" s="4"/>
      <c r="AC193" s="4"/>
    </row>
    <row r="194" ht="15.75" customHeight="1">
      <c r="T194" s="4"/>
      <c r="X194" s="4"/>
      <c r="AC194" s="4"/>
    </row>
    <row r="195" ht="15.75" customHeight="1">
      <c r="T195" s="4"/>
      <c r="X195" s="4"/>
      <c r="AC195" s="4"/>
    </row>
    <row r="196" ht="15.75" customHeight="1">
      <c r="T196" s="4"/>
      <c r="X196" s="4"/>
      <c r="AC196" s="4"/>
    </row>
    <row r="197" ht="15.75" customHeight="1">
      <c r="T197" s="4"/>
      <c r="X197" s="4"/>
      <c r="AC197" s="4"/>
    </row>
    <row r="198" ht="15.75" customHeight="1">
      <c r="T198" s="4"/>
      <c r="X198" s="4"/>
      <c r="AC198" s="4"/>
    </row>
    <row r="199" ht="15.75" customHeight="1">
      <c r="T199" s="4"/>
      <c r="X199" s="4"/>
      <c r="AC199" s="4"/>
    </row>
    <row r="200" ht="15.75" customHeight="1">
      <c r="T200" s="4"/>
      <c r="X200" s="4"/>
      <c r="AC200" s="4"/>
    </row>
    <row r="201" ht="15.75" customHeight="1">
      <c r="T201" s="4"/>
      <c r="X201" s="4"/>
      <c r="AC201" s="4"/>
    </row>
    <row r="202" ht="15.75" customHeight="1">
      <c r="T202" s="4"/>
      <c r="X202" s="4"/>
      <c r="AC202" s="4"/>
    </row>
    <row r="203" ht="15.75" customHeight="1">
      <c r="T203" s="4"/>
      <c r="X203" s="4"/>
      <c r="AC203" s="4"/>
    </row>
    <row r="204" ht="15.75" customHeight="1">
      <c r="T204" s="4"/>
      <c r="X204" s="4"/>
      <c r="AC204" s="4"/>
    </row>
    <row r="205" ht="15.75" customHeight="1">
      <c r="T205" s="4"/>
      <c r="X205" s="4"/>
      <c r="AC205" s="4"/>
    </row>
    <row r="206" ht="15.75" customHeight="1">
      <c r="T206" s="4"/>
      <c r="X206" s="4"/>
      <c r="AC206" s="4"/>
    </row>
    <row r="207" ht="15.75" customHeight="1">
      <c r="T207" s="4"/>
      <c r="X207" s="4"/>
      <c r="AC207" s="4"/>
    </row>
    <row r="208" ht="15.75" customHeight="1">
      <c r="T208" s="4"/>
      <c r="X208" s="4"/>
      <c r="AC208" s="4"/>
    </row>
    <row r="209" ht="15.75" customHeight="1">
      <c r="T209" s="4"/>
      <c r="X209" s="4"/>
      <c r="AC209" s="4"/>
    </row>
    <row r="210" ht="15.75" customHeight="1">
      <c r="T210" s="4"/>
      <c r="X210" s="4"/>
      <c r="AC210" s="4"/>
    </row>
    <row r="211" ht="15.75" customHeight="1">
      <c r="T211" s="4"/>
      <c r="X211" s="4"/>
      <c r="AC211" s="4"/>
    </row>
    <row r="212" ht="15.75" customHeight="1">
      <c r="T212" s="4"/>
      <c r="X212" s="4"/>
      <c r="AC212" s="4"/>
    </row>
    <row r="213" ht="15.75" customHeight="1">
      <c r="T213" s="4"/>
      <c r="X213" s="4"/>
      <c r="AC213" s="4"/>
    </row>
    <row r="214" ht="15.75" customHeight="1">
      <c r="T214" s="4"/>
      <c r="X214" s="4"/>
      <c r="AC214" s="4"/>
    </row>
    <row r="215" ht="15.75" customHeight="1">
      <c r="T215" s="4"/>
      <c r="X215" s="4"/>
      <c r="AC215" s="4"/>
    </row>
    <row r="216" ht="15.75" customHeight="1">
      <c r="T216" s="4"/>
      <c r="X216" s="4"/>
      <c r="AC216" s="4"/>
    </row>
    <row r="217" ht="15.75" customHeight="1">
      <c r="T217" s="4"/>
      <c r="X217" s="4"/>
      <c r="AC217" s="4"/>
    </row>
    <row r="218" ht="15.75" customHeight="1">
      <c r="T218" s="4"/>
      <c r="X218" s="4"/>
      <c r="AC218" s="4"/>
    </row>
    <row r="219" ht="15.75" customHeight="1">
      <c r="T219" s="4"/>
      <c r="X219" s="4"/>
      <c r="AC219" s="4"/>
    </row>
    <row r="220" ht="15.75" customHeight="1">
      <c r="T220" s="4"/>
      <c r="X220" s="4"/>
      <c r="AC220" s="4"/>
    </row>
    <row r="221" ht="15.75" customHeight="1">
      <c r="T221" s="4"/>
      <c r="X221" s="4"/>
      <c r="AC221" s="4"/>
    </row>
    <row r="222" ht="15.75" customHeight="1">
      <c r="T222" s="4"/>
      <c r="X222" s="4"/>
      <c r="AC222" s="4"/>
    </row>
    <row r="223" ht="15.75" customHeight="1">
      <c r="T223" s="4"/>
      <c r="X223" s="4"/>
      <c r="AC223" s="4"/>
    </row>
    <row r="224" ht="15.75" customHeight="1">
      <c r="T224" s="4"/>
      <c r="X224" s="4"/>
      <c r="AC224" s="4"/>
    </row>
    <row r="225" ht="15.75" customHeight="1">
      <c r="T225" s="4"/>
      <c r="X225" s="4"/>
      <c r="AC225" s="4"/>
    </row>
    <row r="226" ht="15.75" customHeight="1">
      <c r="T226" s="4"/>
      <c r="X226" s="4"/>
      <c r="AC226" s="4"/>
    </row>
    <row r="227" ht="15.75" customHeight="1">
      <c r="T227" s="4"/>
      <c r="X227" s="4"/>
      <c r="AC227" s="4"/>
    </row>
    <row r="228" ht="15.75" customHeight="1">
      <c r="T228" s="4"/>
      <c r="X228" s="4"/>
      <c r="AC228" s="4"/>
    </row>
    <row r="229" ht="15.75" customHeight="1">
      <c r="T229" s="4"/>
      <c r="X229" s="4"/>
      <c r="AC229" s="4"/>
    </row>
    <row r="230" ht="15.75" customHeight="1">
      <c r="T230" s="4"/>
      <c r="X230" s="4"/>
      <c r="AC230" s="4"/>
    </row>
    <row r="231" ht="15.75" customHeight="1">
      <c r="T231" s="4"/>
      <c r="X231" s="4"/>
      <c r="AC231" s="4"/>
    </row>
    <row r="232" ht="15.75" customHeight="1">
      <c r="T232" s="4"/>
      <c r="X232" s="4"/>
      <c r="AC232" s="4"/>
    </row>
    <row r="233" ht="15.75" customHeight="1">
      <c r="T233" s="4"/>
      <c r="X233" s="4"/>
      <c r="AC233" s="4"/>
    </row>
    <row r="234" ht="15.75" customHeight="1">
      <c r="T234" s="4"/>
      <c r="X234" s="4"/>
      <c r="AC234" s="4"/>
    </row>
    <row r="235" ht="15.75" customHeight="1">
      <c r="T235" s="4"/>
      <c r="X235" s="4"/>
      <c r="AC235" s="4"/>
    </row>
    <row r="236" ht="15.75" customHeight="1">
      <c r="T236" s="4"/>
      <c r="X236" s="4"/>
      <c r="AC236" s="4"/>
    </row>
    <row r="237" ht="15.75" customHeight="1">
      <c r="T237" s="4"/>
      <c r="X237" s="4"/>
      <c r="AC237" s="4"/>
    </row>
    <row r="238" ht="15.75" customHeight="1">
      <c r="T238" s="4"/>
      <c r="X238" s="4"/>
      <c r="AC238" s="4"/>
    </row>
    <row r="239" ht="15.75" customHeight="1">
      <c r="T239" s="4"/>
      <c r="X239" s="4"/>
      <c r="AC239" s="4"/>
    </row>
    <row r="240" ht="15.75" customHeight="1">
      <c r="T240" s="4"/>
      <c r="X240" s="4"/>
      <c r="AC240" s="4"/>
    </row>
    <row r="241" ht="15.75" customHeight="1">
      <c r="T241" s="4"/>
      <c r="X241" s="4"/>
      <c r="AC241" s="4"/>
    </row>
    <row r="242" ht="15.75" customHeight="1">
      <c r="T242" s="4"/>
      <c r="X242" s="4"/>
      <c r="AC242" s="4"/>
    </row>
    <row r="243" ht="15.75" customHeight="1">
      <c r="T243" s="4"/>
      <c r="X243" s="4"/>
      <c r="AC243" s="4"/>
    </row>
    <row r="244" ht="15.75" customHeight="1">
      <c r="T244" s="4"/>
      <c r="X244" s="4"/>
      <c r="AC244" s="4"/>
    </row>
    <row r="245" ht="15.75" customHeight="1">
      <c r="T245" s="4"/>
      <c r="X245" s="4"/>
      <c r="AC245" s="4"/>
    </row>
    <row r="246" ht="15.75" customHeight="1">
      <c r="T246" s="4"/>
      <c r="X246" s="4"/>
      <c r="AC246" s="4"/>
    </row>
    <row r="247" ht="15.75" customHeight="1">
      <c r="T247" s="4"/>
      <c r="X247" s="4"/>
      <c r="AC247" s="4"/>
    </row>
    <row r="248" ht="15.75" customHeight="1">
      <c r="T248" s="4"/>
      <c r="X248" s="4"/>
      <c r="AC248" s="4"/>
    </row>
    <row r="249" ht="15.75" customHeight="1">
      <c r="T249" s="4"/>
      <c r="X249" s="4"/>
      <c r="AC249" s="4"/>
    </row>
    <row r="250" ht="15.75" customHeight="1">
      <c r="T250" s="4"/>
      <c r="X250" s="4"/>
      <c r="AC250" s="4"/>
    </row>
    <row r="251" ht="15.75" customHeight="1">
      <c r="T251" s="4"/>
      <c r="X251" s="4"/>
      <c r="AC251" s="4"/>
    </row>
    <row r="252" ht="15.75" customHeight="1">
      <c r="T252" s="4"/>
      <c r="X252" s="4"/>
      <c r="AC252" s="4"/>
    </row>
    <row r="253" ht="15.75" customHeight="1">
      <c r="T253" s="4"/>
      <c r="X253" s="4"/>
      <c r="AC253" s="4"/>
    </row>
    <row r="254" ht="15.75" customHeight="1">
      <c r="T254" s="4"/>
      <c r="X254" s="4"/>
      <c r="AC254" s="4"/>
    </row>
    <row r="255" ht="15.75" customHeight="1">
      <c r="T255" s="4"/>
      <c r="X255" s="4"/>
      <c r="AC255" s="4"/>
    </row>
    <row r="256" ht="15.75" customHeight="1">
      <c r="T256" s="4"/>
      <c r="X256" s="4"/>
      <c r="AC256" s="4"/>
    </row>
    <row r="257" ht="15.75" customHeight="1">
      <c r="T257" s="4"/>
      <c r="X257" s="4"/>
      <c r="AC257" s="4"/>
    </row>
    <row r="258" ht="15.75" customHeight="1">
      <c r="T258" s="4"/>
      <c r="X258" s="4"/>
      <c r="AC258" s="4"/>
    </row>
    <row r="259" ht="15.75" customHeight="1">
      <c r="T259" s="4"/>
      <c r="X259" s="4"/>
      <c r="AC259" s="4"/>
    </row>
    <row r="260" ht="15.75" customHeight="1">
      <c r="T260" s="4"/>
      <c r="X260" s="4"/>
      <c r="AC260" s="4"/>
    </row>
    <row r="261" ht="15.75" customHeight="1">
      <c r="T261" s="4"/>
      <c r="X261" s="4"/>
      <c r="AC261" s="4"/>
    </row>
    <row r="262" ht="15.75" customHeight="1">
      <c r="T262" s="4"/>
      <c r="X262" s="4"/>
      <c r="AC262" s="4"/>
    </row>
    <row r="263" ht="15.75" customHeight="1">
      <c r="T263" s="4"/>
      <c r="X263" s="4"/>
      <c r="AC263" s="4"/>
    </row>
    <row r="264" ht="15.75" customHeight="1">
      <c r="T264" s="4"/>
      <c r="X264" s="4"/>
      <c r="AC264" s="4"/>
    </row>
    <row r="265" ht="15.75" customHeight="1">
      <c r="T265" s="4"/>
      <c r="X265" s="4"/>
      <c r="AC265" s="4"/>
    </row>
    <row r="266" ht="15.75" customHeight="1">
      <c r="T266" s="4"/>
      <c r="X266" s="4"/>
      <c r="AC266" s="4"/>
    </row>
    <row r="267" ht="15.75" customHeight="1">
      <c r="T267" s="4"/>
      <c r="X267" s="4"/>
      <c r="AC267" s="4"/>
    </row>
    <row r="268" ht="15.75" customHeight="1">
      <c r="T268" s="4"/>
      <c r="X268" s="4"/>
      <c r="AC268" s="4"/>
    </row>
    <row r="269" ht="15.75" customHeight="1">
      <c r="T269" s="4"/>
      <c r="X269" s="4"/>
      <c r="AC269" s="4"/>
    </row>
    <row r="270" ht="15.75" customHeight="1">
      <c r="T270" s="4"/>
      <c r="X270" s="4"/>
      <c r="AC270" s="4"/>
    </row>
    <row r="271" ht="15.75" customHeight="1">
      <c r="T271" s="4"/>
      <c r="X271" s="4"/>
      <c r="AC271" s="4"/>
    </row>
    <row r="272" ht="15.75" customHeight="1">
      <c r="T272" s="4"/>
      <c r="X272" s="4"/>
      <c r="AC272" s="4"/>
    </row>
    <row r="273" ht="15.75" customHeight="1">
      <c r="T273" s="4"/>
      <c r="X273" s="4"/>
      <c r="AC273" s="4"/>
    </row>
    <row r="274" ht="15.75" customHeight="1">
      <c r="T274" s="4"/>
      <c r="X274" s="4"/>
      <c r="AC274" s="4"/>
    </row>
    <row r="275" ht="15.75" customHeight="1">
      <c r="T275" s="4"/>
      <c r="X275" s="4"/>
      <c r="AC275" s="4"/>
    </row>
    <row r="276" ht="15.75" customHeight="1">
      <c r="T276" s="4"/>
      <c r="X276" s="4"/>
      <c r="AC276" s="4"/>
    </row>
    <row r="277" ht="15.75" customHeight="1">
      <c r="T277" s="4"/>
      <c r="X277" s="4"/>
      <c r="AC277" s="4"/>
    </row>
    <row r="278" ht="15.75" customHeight="1">
      <c r="T278" s="4"/>
      <c r="X278" s="4"/>
      <c r="AC278" s="4"/>
    </row>
    <row r="279" ht="15.75" customHeight="1">
      <c r="T279" s="4"/>
      <c r="X279" s="4"/>
      <c r="AC279" s="4"/>
    </row>
    <row r="280" ht="15.75" customHeight="1">
      <c r="T280" s="4"/>
      <c r="X280" s="4"/>
      <c r="AC280" s="4"/>
    </row>
    <row r="281" ht="15.75" customHeight="1">
      <c r="T281" s="4"/>
      <c r="X281" s="4"/>
      <c r="AC281" s="4"/>
    </row>
    <row r="282" ht="15.75" customHeight="1">
      <c r="T282" s="4"/>
      <c r="X282" s="4"/>
      <c r="AC282" s="4"/>
    </row>
    <row r="283" ht="15.75" customHeight="1">
      <c r="T283" s="4"/>
      <c r="X283" s="4"/>
      <c r="AC283" s="4"/>
    </row>
    <row r="284" ht="15.75" customHeight="1">
      <c r="T284" s="4"/>
      <c r="X284" s="4"/>
      <c r="AC284" s="4"/>
    </row>
    <row r="285" ht="15.75" customHeight="1">
      <c r="T285" s="4"/>
      <c r="X285" s="4"/>
      <c r="AC285" s="4"/>
    </row>
    <row r="286" ht="15.75" customHeight="1">
      <c r="T286" s="4"/>
      <c r="X286" s="4"/>
      <c r="AC286" s="4"/>
    </row>
    <row r="287" ht="15.75" customHeight="1">
      <c r="T287" s="4"/>
      <c r="X287" s="4"/>
      <c r="AC287" s="4"/>
    </row>
    <row r="288" ht="15.75" customHeight="1">
      <c r="T288" s="4"/>
      <c r="X288" s="4"/>
      <c r="AC288" s="4"/>
    </row>
    <row r="289" ht="15.75" customHeight="1">
      <c r="T289" s="4"/>
      <c r="X289" s="4"/>
      <c r="AC289" s="4"/>
    </row>
    <row r="290" ht="15.75" customHeight="1">
      <c r="T290" s="4"/>
      <c r="X290" s="4"/>
      <c r="AC290" s="4"/>
    </row>
    <row r="291" ht="15.75" customHeight="1">
      <c r="T291" s="4"/>
      <c r="X291" s="4"/>
      <c r="AC291" s="4"/>
    </row>
    <row r="292" ht="15.75" customHeight="1">
      <c r="T292" s="4"/>
      <c r="X292" s="4"/>
      <c r="AC292" s="4"/>
    </row>
    <row r="293" ht="15.75" customHeight="1">
      <c r="T293" s="4"/>
      <c r="X293" s="4"/>
      <c r="AC293" s="4"/>
    </row>
    <row r="294" ht="15.75" customHeight="1">
      <c r="T294" s="4"/>
      <c r="X294" s="4"/>
      <c r="AC294" s="4"/>
    </row>
    <row r="295" ht="15.75" customHeight="1">
      <c r="T295" s="4"/>
      <c r="X295" s="4"/>
      <c r="AC295" s="4"/>
    </row>
    <row r="296" ht="15.75" customHeight="1">
      <c r="T296" s="4"/>
      <c r="X296" s="4"/>
      <c r="AC296" s="4"/>
    </row>
    <row r="297" ht="15.75" customHeight="1">
      <c r="T297" s="4"/>
      <c r="X297" s="4"/>
      <c r="AC297" s="4"/>
    </row>
    <row r="298" ht="15.75" customHeight="1">
      <c r="T298" s="4"/>
      <c r="X298" s="4"/>
      <c r="AC298" s="4"/>
    </row>
    <row r="299" ht="15.75" customHeight="1">
      <c r="T299" s="4"/>
      <c r="X299" s="4"/>
      <c r="AC299" s="4"/>
    </row>
    <row r="300" ht="15.75" customHeight="1">
      <c r="T300" s="4"/>
      <c r="X300" s="4"/>
      <c r="AC300" s="4"/>
    </row>
    <row r="301" ht="15.75" customHeight="1">
      <c r="T301" s="4"/>
      <c r="X301" s="4"/>
      <c r="AC301" s="4"/>
    </row>
    <row r="302" ht="15.75" customHeight="1">
      <c r="T302" s="4"/>
      <c r="X302" s="4"/>
      <c r="AC302" s="4"/>
    </row>
    <row r="303" ht="15.75" customHeight="1">
      <c r="T303" s="4"/>
      <c r="X303" s="4"/>
      <c r="AC303" s="4"/>
    </row>
    <row r="304" ht="15.75" customHeight="1">
      <c r="T304" s="4"/>
      <c r="X304" s="4"/>
      <c r="AC304" s="4"/>
    </row>
    <row r="305" ht="15.75" customHeight="1">
      <c r="T305" s="4"/>
      <c r="X305" s="4"/>
      <c r="AC305" s="4"/>
    </row>
    <row r="306" ht="15.75" customHeight="1">
      <c r="T306" s="4"/>
      <c r="X306" s="4"/>
      <c r="AC306" s="4"/>
    </row>
    <row r="307" ht="15.75" customHeight="1">
      <c r="T307" s="4"/>
      <c r="X307" s="4"/>
      <c r="AC307" s="4"/>
    </row>
    <row r="308" ht="15.75" customHeight="1">
      <c r="T308" s="4"/>
      <c r="X308" s="4"/>
      <c r="AC308" s="4"/>
    </row>
    <row r="309" ht="15.75" customHeight="1">
      <c r="T309" s="4"/>
      <c r="X309" s="4"/>
      <c r="AC309" s="4"/>
    </row>
    <row r="310" ht="15.75" customHeight="1">
      <c r="T310" s="4"/>
      <c r="X310" s="4"/>
      <c r="AC310" s="4"/>
    </row>
    <row r="311" ht="15.75" customHeight="1">
      <c r="T311" s="4"/>
      <c r="X311" s="4"/>
      <c r="AC311" s="4"/>
    </row>
    <row r="312" ht="15.75" customHeight="1">
      <c r="T312" s="4"/>
      <c r="X312" s="4"/>
      <c r="AC312" s="4"/>
    </row>
    <row r="313" ht="15.75" customHeight="1">
      <c r="T313" s="4"/>
      <c r="X313" s="4"/>
      <c r="AC313" s="4"/>
    </row>
    <row r="314" ht="15.75" customHeight="1">
      <c r="T314" s="4"/>
      <c r="X314" s="4"/>
      <c r="AC314" s="4"/>
    </row>
    <row r="315" ht="15.75" customHeight="1">
      <c r="T315" s="4"/>
      <c r="X315" s="4"/>
      <c r="AC315" s="4"/>
    </row>
    <row r="316" ht="15.75" customHeight="1">
      <c r="T316" s="4"/>
      <c r="X316" s="4"/>
      <c r="AC316" s="4"/>
    </row>
    <row r="317" ht="15.75" customHeight="1">
      <c r="T317" s="4"/>
      <c r="X317" s="4"/>
      <c r="AC317" s="4"/>
    </row>
    <row r="318" ht="15.75" customHeight="1">
      <c r="T318" s="4"/>
      <c r="X318" s="4"/>
      <c r="AC318" s="4"/>
    </row>
    <row r="319" ht="15.75" customHeight="1">
      <c r="T319" s="4"/>
      <c r="X319" s="4"/>
      <c r="AC319" s="4"/>
    </row>
    <row r="320" ht="15.75" customHeight="1">
      <c r="T320" s="4"/>
      <c r="X320" s="4"/>
      <c r="AC320" s="4"/>
    </row>
    <row r="321" ht="15.75" customHeight="1">
      <c r="T321" s="4"/>
      <c r="X321" s="4"/>
      <c r="AC321" s="4"/>
    </row>
    <row r="322" ht="15.75" customHeight="1">
      <c r="T322" s="4"/>
      <c r="X322" s="4"/>
      <c r="AC322" s="4"/>
    </row>
    <row r="323" ht="15.75" customHeight="1">
      <c r="T323" s="4"/>
      <c r="X323" s="4"/>
      <c r="AC323" s="4"/>
    </row>
    <row r="324" ht="15.75" customHeight="1">
      <c r="T324" s="4"/>
      <c r="X324" s="4"/>
      <c r="AC324" s="4"/>
    </row>
    <row r="325" ht="15.75" customHeight="1">
      <c r="T325" s="4"/>
      <c r="X325" s="4"/>
      <c r="AC325" s="4"/>
    </row>
    <row r="326" ht="15.75" customHeight="1">
      <c r="T326" s="4"/>
      <c r="X326" s="4"/>
      <c r="AC326" s="4"/>
    </row>
    <row r="327" ht="15.75" customHeight="1">
      <c r="T327" s="4"/>
      <c r="X327" s="4"/>
      <c r="AC327" s="4"/>
    </row>
    <row r="328" ht="15.75" customHeight="1">
      <c r="T328" s="4"/>
      <c r="X328" s="4"/>
      <c r="AC328" s="4"/>
    </row>
    <row r="329" ht="15.75" customHeight="1">
      <c r="T329" s="4"/>
      <c r="X329" s="4"/>
      <c r="AC329" s="4"/>
    </row>
    <row r="330" ht="15.75" customHeight="1">
      <c r="T330" s="4"/>
      <c r="X330" s="4"/>
      <c r="AC330" s="4"/>
    </row>
    <row r="331" ht="15.75" customHeight="1">
      <c r="T331" s="4"/>
      <c r="X331" s="4"/>
      <c r="AC331" s="4"/>
    </row>
    <row r="332" ht="15.75" customHeight="1">
      <c r="T332" s="4"/>
      <c r="X332" s="4"/>
      <c r="AC332" s="4"/>
    </row>
    <row r="333" ht="15.75" customHeight="1">
      <c r="T333" s="4"/>
      <c r="X333" s="4"/>
      <c r="AC333" s="4"/>
    </row>
    <row r="334" ht="15.75" customHeight="1">
      <c r="T334" s="4"/>
      <c r="X334" s="4"/>
      <c r="AC334" s="4"/>
    </row>
    <row r="335" ht="15.75" customHeight="1">
      <c r="T335" s="4"/>
      <c r="X335" s="4"/>
      <c r="AC335" s="4"/>
    </row>
    <row r="336" ht="15.75" customHeight="1">
      <c r="T336" s="4"/>
      <c r="X336" s="4"/>
      <c r="AC336" s="4"/>
    </row>
    <row r="337" ht="15.75" customHeight="1">
      <c r="T337" s="4"/>
      <c r="X337" s="4"/>
      <c r="AC337" s="4"/>
    </row>
    <row r="338" ht="15.75" customHeight="1">
      <c r="T338" s="4"/>
      <c r="X338" s="4"/>
      <c r="AC338" s="4"/>
    </row>
    <row r="339" ht="15.75" customHeight="1">
      <c r="T339" s="4"/>
      <c r="X339" s="4"/>
      <c r="AC339" s="4"/>
    </row>
    <row r="340" ht="15.75" customHeight="1">
      <c r="T340" s="4"/>
      <c r="X340" s="4"/>
      <c r="AC340" s="4"/>
    </row>
    <row r="341" ht="15.75" customHeight="1">
      <c r="T341" s="4"/>
      <c r="X341" s="4"/>
      <c r="AC341" s="4"/>
    </row>
    <row r="342" ht="15.75" customHeight="1">
      <c r="T342" s="4"/>
      <c r="X342" s="4"/>
      <c r="AC342" s="4"/>
    </row>
    <row r="343" ht="15.75" customHeight="1">
      <c r="T343" s="4"/>
      <c r="X343" s="4"/>
      <c r="AC343" s="4"/>
    </row>
    <row r="344" ht="15.75" customHeight="1">
      <c r="T344" s="4"/>
      <c r="X344" s="4"/>
      <c r="AC344" s="4"/>
    </row>
    <row r="345" ht="15.75" customHeight="1">
      <c r="T345" s="4"/>
      <c r="X345" s="4"/>
      <c r="AC345" s="4"/>
    </row>
    <row r="346" ht="15.75" customHeight="1">
      <c r="T346" s="4"/>
      <c r="X346" s="4"/>
      <c r="AC346" s="4"/>
    </row>
    <row r="347" ht="15.75" customHeight="1">
      <c r="T347" s="4"/>
      <c r="X347" s="4"/>
      <c r="AC347" s="4"/>
    </row>
    <row r="348" ht="15.75" customHeight="1">
      <c r="T348" s="4"/>
      <c r="X348" s="4"/>
      <c r="AC348" s="4"/>
    </row>
    <row r="349" ht="15.75" customHeight="1">
      <c r="T349" s="4"/>
      <c r="X349" s="4"/>
      <c r="AC349" s="4"/>
    </row>
    <row r="350" ht="15.75" customHeight="1">
      <c r="T350" s="4"/>
      <c r="X350" s="4"/>
      <c r="AC350" s="4"/>
    </row>
    <row r="351" ht="15.75" customHeight="1">
      <c r="T351" s="4"/>
      <c r="X351" s="4"/>
      <c r="AC351" s="4"/>
    </row>
    <row r="352" ht="15.75" customHeight="1">
      <c r="T352" s="4"/>
      <c r="X352" s="4"/>
      <c r="AC352" s="4"/>
    </row>
    <row r="353" ht="15.75" customHeight="1">
      <c r="T353" s="4"/>
      <c r="X353" s="4"/>
      <c r="AC353" s="4"/>
    </row>
    <row r="354" ht="15.75" customHeight="1">
      <c r="T354" s="4"/>
      <c r="X354" s="4"/>
      <c r="AC354" s="4"/>
    </row>
    <row r="355" ht="15.75" customHeight="1">
      <c r="T355" s="4"/>
      <c r="X355" s="4"/>
      <c r="AC355" s="4"/>
    </row>
    <row r="356" ht="15.75" customHeight="1">
      <c r="T356" s="4"/>
      <c r="X356" s="4"/>
      <c r="AC356" s="4"/>
    </row>
    <row r="357" ht="15.75" customHeight="1">
      <c r="T357" s="4"/>
      <c r="X357" s="4"/>
      <c r="AC357" s="4"/>
    </row>
    <row r="358" ht="15.75" customHeight="1">
      <c r="T358" s="4"/>
      <c r="X358" s="4"/>
      <c r="AC358" s="4"/>
    </row>
    <row r="359" ht="15.75" customHeight="1">
      <c r="T359" s="4"/>
      <c r="X359" s="4"/>
      <c r="AC359" s="4"/>
    </row>
    <row r="360" ht="15.75" customHeight="1">
      <c r="T360" s="4"/>
      <c r="X360" s="4"/>
      <c r="AC360" s="4"/>
    </row>
    <row r="361" ht="15.75" customHeight="1">
      <c r="T361" s="4"/>
      <c r="X361" s="4"/>
      <c r="AC361" s="4"/>
    </row>
    <row r="362" ht="15.75" customHeight="1">
      <c r="T362" s="4"/>
      <c r="X362" s="4"/>
      <c r="AC362" s="4"/>
    </row>
    <row r="363" ht="15.75" customHeight="1">
      <c r="T363" s="4"/>
      <c r="X363" s="4"/>
      <c r="AC363" s="4"/>
    </row>
    <row r="364" ht="15.75" customHeight="1">
      <c r="T364" s="4"/>
      <c r="X364" s="4"/>
      <c r="AC364" s="4"/>
    </row>
    <row r="365" ht="15.75" customHeight="1">
      <c r="T365" s="4"/>
      <c r="X365" s="4"/>
      <c r="AC365" s="4"/>
    </row>
    <row r="366" ht="15.75" customHeight="1">
      <c r="T366" s="4"/>
      <c r="X366" s="4"/>
      <c r="AC366" s="4"/>
    </row>
    <row r="367" ht="15.75" customHeight="1">
      <c r="T367" s="4"/>
      <c r="X367" s="4"/>
      <c r="AC367" s="4"/>
    </row>
    <row r="368" ht="15.75" customHeight="1">
      <c r="T368" s="4"/>
      <c r="X368" s="4"/>
      <c r="AC368" s="4"/>
    </row>
    <row r="369" ht="15.75" customHeight="1">
      <c r="T369" s="4"/>
      <c r="X369" s="4"/>
      <c r="AC369" s="4"/>
    </row>
    <row r="370" ht="15.75" customHeight="1">
      <c r="T370" s="4"/>
      <c r="X370" s="4"/>
      <c r="AC370" s="4"/>
    </row>
    <row r="371" ht="15.75" customHeight="1">
      <c r="T371" s="4"/>
      <c r="X371" s="4"/>
      <c r="AC371" s="4"/>
    </row>
    <row r="372" ht="15.75" customHeight="1">
      <c r="T372" s="4"/>
      <c r="X372" s="4"/>
      <c r="AC372" s="4"/>
    </row>
    <row r="373" ht="15.75" customHeight="1">
      <c r="T373" s="4"/>
      <c r="X373" s="4"/>
      <c r="AC373" s="4"/>
    </row>
    <row r="374" ht="15.75" customHeight="1">
      <c r="T374" s="4"/>
      <c r="X374" s="4"/>
      <c r="AC374" s="4"/>
    </row>
    <row r="375" ht="15.75" customHeight="1">
      <c r="T375" s="4"/>
      <c r="X375" s="4"/>
      <c r="AC375" s="4"/>
    </row>
    <row r="376" ht="15.75" customHeight="1">
      <c r="T376" s="4"/>
      <c r="X376" s="4"/>
      <c r="AC376" s="4"/>
    </row>
    <row r="377" ht="15.75" customHeight="1">
      <c r="T377" s="4"/>
      <c r="X377" s="4"/>
      <c r="AC377" s="4"/>
    </row>
    <row r="378" ht="15.75" customHeight="1">
      <c r="T378" s="4"/>
      <c r="X378" s="4"/>
      <c r="AC378" s="4"/>
    </row>
    <row r="379" ht="15.75" customHeight="1">
      <c r="T379" s="4"/>
      <c r="X379" s="4"/>
      <c r="AC379" s="4"/>
    </row>
    <row r="380" ht="15.75" customHeight="1">
      <c r="T380" s="4"/>
      <c r="X380" s="4"/>
      <c r="AC380" s="4"/>
    </row>
    <row r="381" ht="15.75" customHeight="1">
      <c r="T381" s="4"/>
      <c r="X381" s="4"/>
      <c r="AC381" s="4"/>
    </row>
    <row r="382" ht="15.75" customHeight="1">
      <c r="T382" s="4"/>
      <c r="X382" s="4"/>
      <c r="AC382" s="4"/>
    </row>
    <row r="383" ht="15.75" customHeight="1">
      <c r="T383" s="4"/>
      <c r="X383" s="4"/>
      <c r="AC383" s="4"/>
    </row>
    <row r="384" ht="15.75" customHeight="1">
      <c r="T384" s="4"/>
      <c r="X384" s="4"/>
      <c r="AC384" s="4"/>
    </row>
    <row r="385" ht="15.75" customHeight="1">
      <c r="T385" s="4"/>
      <c r="X385" s="4"/>
      <c r="AC385" s="4"/>
    </row>
    <row r="386" ht="15.75" customHeight="1">
      <c r="T386" s="4"/>
      <c r="X386" s="4"/>
      <c r="AC386" s="4"/>
    </row>
    <row r="387" ht="15.75" customHeight="1">
      <c r="T387" s="4"/>
      <c r="X387" s="4"/>
      <c r="AC387" s="4"/>
    </row>
    <row r="388" ht="15.75" customHeight="1">
      <c r="T388" s="4"/>
      <c r="X388" s="4"/>
      <c r="AC388" s="4"/>
    </row>
    <row r="389" ht="15.75" customHeight="1">
      <c r="T389" s="4"/>
      <c r="X389" s="4"/>
      <c r="AC389" s="4"/>
    </row>
    <row r="390" ht="15.75" customHeight="1">
      <c r="T390" s="4"/>
      <c r="X390" s="4"/>
      <c r="AC390" s="4"/>
    </row>
    <row r="391" ht="15.75" customHeight="1">
      <c r="T391" s="4"/>
      <c r="X391" s="4"/>
      <c r="AC391" s="4"/>
    </row>
    <row r="392" ht="15.75" customHeight="1">
      <c r="T392" s="4"/>
      <c r="X392" s="4"/>
      <c r="AC392" s="4"/>
    </row>
    <row r="393" ht="15.75" customHeight="1">
      <c r="T393" s="4"/>
      <c r="X393" s="4"/>
      <c r="AC393" s="4"/>
    </row>
    <row r="394" ht="15.75" customHeight="1">
      <c r="T394" s="4"/>
      <c r="X394" s="4"/>
      <c r="AC394" s="4"/>
    </row>
    <row r="395" ht="15.75" customHeight="1">
      <c r="T395" s="4"/>
      <c r="X395" s="4"/>
      <c r="AC395" s="4"/>
    </row>
    <row r="396" ht="15.75" customHeight="1">
      <c r="T396" s="4"/>
      <c r="X396" s="4"/>
      <c r="AC396" s="4"/>
    </row>
    <row r="397" ht="15.75" customHeight="1">
      <c r="T397" s="4"/>
      <c r="X397" s="4"/>
      <c r="AC397" s="4"/>
    </row>
    <row r="398" ht="15.75" customHeight="1">
      <c r="T398" s="4"/>
      <c r="X398" s="4"/>
      <c r="AC398" s="4"/>
    </row>
    <row r="399" ht="15.75" customHeight="1">
      <c r="T399" s="4"/>
      <c r="X399" s="4"/>
      <c r="AC399" s="4"/>
    </row>
    <row r="400" ht="15.75" customHeight="1">
      <c r="T400" s="4"/>
      <c r="X400" s="4"/>
      <c r="AC400" s="4"/>
    </row>
    <row r="401" ht="15.75" customHeight="1">
      <c r="T401" s="4"/>
      <c r="X401" s="4"/>
      <c r="AC401" s="4"/>
    </row>
    <row r="402" ht="15.75" customHeight="1">
      <c r="T402" s="4"/>
      <c r="X402" s="4"/>
      <c r="AC402" s="4"/>
    </row>
    <row r="403" ht="15.75" customHeight="1">
      <c r="T403" s="4"/>
      <c r="X403" s="4"/>
      <c r="AC403" s="4"/>
    </row>
    <row r="404" ht="15.75" customHeight="1">
      <c r="T404" s="4"/>
      <c r="X404" s="4"/>
      <c r="AC404" s="4"/>
    </row>
    <row r="405" ht="15.75" customHeight="1">
      <c r="T405" s="4"/>
      <c r="X405" s="4"/>
      <c r="AC405" s="4"/>
    </row>
    <row r="406" ht="15.75" customHeight="1">
      <c r="T406" s="4"/>
      <c r="X406" s="4"/>
      <c r="AC406" s="4"/>
    </row>
    <row r="407" ht="15.75" customHeight="1">
      <c r="T407" s="4"/>
      <c r="X407" s="4"/>
      <c r="AC407" s="4"/>
    </row>
    <row r="408" ht="15.75" customHeight="1">
      <c r="T408" s="4"/>
      <c r="X408" s="4"/>
      <c r="AC408" s="4"/>
    </row>
    <row r="409" ht="15.75" customHeight="1">
      <c r="T409" s="4"/>
      <c r="X409" s="4"/>
      <c r="AC409" s="4"/>
    </row>
    <row r="410" ht="15.75" customHeight="1">
      <c r="T410" s="4"/>
      <c r="X410" s="4"/>
      <c r="AC410" s="4"/>
    </row>
    <row r="411" ht="15.75" customHeight="1">
      <c r="T411" s="4"/>
      <c r="X411" s="4"/>
      <c r="AC411" s="4"/>
    </row>
    <row r="412" ht="15.75" customHeight="1">
      <c r="T412" s="4"/>
      <c r="X412" s="4"/>
      <c r="AC412" s="4"/>
    </row>
    <row r="413" ht="15.75" customHeight="1">
      <c r="T413" s="4"/>
      <c r="X413" s="4"/>
      <c r="AC413" s="4"/>
    </row>
    <row r="414" ht="15.75" customHeight="1">
      <c r="T414" s="4"/>
      <c r="X414" s="4"/>
      <c r="AC414" s="4"/>
    </row>
    <row r="415" ht="15.75" customHeight="1">
      <c r="T415" s="4"/>
      <c r="X415" s="4"/>
      <c r="AC415" s="4"/>
    </row>
    <row r="416" ht="15.75" customHeight="1">
      <c r="T416" s="4"/>
      <c r="X416" s="4"/>
      <c r="AC416" s="4"/>
    </row>
    <row r="417" ht="15.75" customHeight="1">
      <c r="T417" s="4"/>
      <c r="X417" s="4"/>
      <c r="AC417" s="4"/>
    </row>
    <row r="418" ht="15.75" customHeight="1">
      <c r="T418" s="4"/>
      <c r="X418" s="4"/>
      <c r="AC418" s="4"/>
    </row>
    <row r="419" ht="15.75" customHeight="1">
      <c r="T419" s="4"/>
      <c r="X419" s="4"/>
      <c r="AC419" s="4"/>
    </row>
    <row r="420" ht="15.75" customHeight="1">
      <c r="T420" s="4"/>
      <c r="X420" s="4"/>
      <c r="AC420" s="4"/>
    </row>
    <row r="421" ht="15.75" customHeight="1">
      <c r="T421" s="4"/>
      <c r="X421" s="4"/>
      <c r="AC421" s="4"/>
    </row>
    <row r="422" ht="15.75" customHeight="1">
      <c r="T422" s="4"/>
      <c r="X422" s="4"/>
      <c r="AC422" s="4"/>
    </row>
    <row r="423" ht="15.75" customHeight="1">
      <c r="T423" s="4"/>
      <c r="X423" s="4"/>
      <c r="AC423" s="4"/>
    </row>
    <row r="424" ht="15.75" customHeight="1">
      <c r="T424" s="4"/>
      <c r="X424" s="4"/>
      <c r="AC424" s="4"/>
    </row>
    <row r="425" ht="15.75" customHeight="1">
      <c r="T425" s="4"/>
      <c r="X425" s="4"/>
      <c r="AC425" s="4"/>
    </row>
    <row r="426" ht="15.75" customHeight="1">
      <c r="T426" s="4"/>
      <c r="X426" s="4"/>
      <c r="AC426" s="4"/>
    </row>
    <row r="427" ht="15.75" customHeight="1">
      <c r="T427" s="4"/>
      <c r="X427" s="4"/>
      <c r="AC427" s="4"/>
    </row>
    <row r="428" ht="15.75" customHeight="1">
      <c r="T428" s="4"/>
      <c r="X428" s="4"/>
      <c r="AC428" s="4"/>
    </row>
    <row r="429" ht="15.75" customHeight="1">
      <c r="T429" s="4"/>
      <c r="X429" s="4"/>
      <c r="AC429" s="4"/>
    </row>
    <row r="430" ht="15.75" customHeight="1">
      <c r="T430" s="4"/>
      <c r="X430" s="4"/>
      <c r="AC430" s="4"/>
    </row>
    <row r="431" ht="15.75" customHeight="1">
      <c r="T431" s="4"/>
      <c r="X431" s="4"/>
      <c r="AC431" s="4"/>
    </row>
    <row r="432" ht="15.75" customHeight="1">
      <c r="T432" s="4"/>
      <c r="X432" s="4"/>
      <c r="AC432" s="4"/>
    </row>
    <row r="433" ht="15.75" customHeight="1">
      <c r="T433" s="4"/>
      <c r="X433" s="4"/>
      <c r="AC433" s="4"/>
    </row>
    <row r="434" ht="15.75" customHeight="1">
      <c r="T434" s="4"/>
      <c r="X434" s="4"/>
      <c r="AC434" s="4"/>
    </row>
    <row r="435" ht="15.75" customHeight="1">
      <c r="T435" s="4"/>
      <c r="X435" s="4"/>
      <c r="AC435" s="4"/>
    </row>
    <row r="436" ht="15.75" customHeight="1">
      <c r="T436" s="4"/>
      <c r="X436" s="4"/>
      <c r="AC436" s="4"/>
    </row>
    <row r="437" ht="15.75" customHeight="1">
      <c r="T437" s="4"/>
      <c r="X437" s="4"/>
      <c r="AC437" s="4"/>
    </row>
    <row r="438" ht="15.75" customHeight="1">
      <c r="T438" s="4"/>
      <c r="X438" s="4"/>
      <c r="AC438" s="4"/>
    </row>
    <row r="439" ht="15.75" customHeight="1">
      <c r="T439" s="4"/>
      <c r="X439" s="4"/>
      <c r="AC439" s="4"/>
    </row>
    <row r="440" ht="15.75" customHeight="1">
      <c r="T440" s="4"/>
      <c r="X440" s="4"/>
      <c r="AC440" s="4"/>
    </row>
    <row r="441" ht="15.75" customHeight="1">
      <c r="T441" s="4"/>
      <c r="X441" s="4"/>
      <c r="AC441" s="4"/>
    </row>
    <row r="442" ht="15.75" customHeight="1">
      <c r="T442" s="4"/>
      <c r="X442" s="4"/>
      <c r="AC442" s="4"/>
    </row>
    <row r="443" ht="15.75" customHeight="1">
      <c r="T443" s="4"/>
      <c r="X443" s="4"/>
      <c r="AC443" s="4"/>
    </row>
    <row r="444" ht="15.75" customHeight="1">
      <c r="T444" s="4"/>
      <c r="X444" s="4"/>
      <c r="AC444" s="4"/>
    </row>
    <row r="445" ht="15.75" customHeight="1">
      <c r="T445" s="4"/>
      <c r="X445" s="4"/>
      <c r="AC445" s="4"/>
    </row>
    <row r="446" ht="15.75" customHeight="1">
      <c r="T446" s="4"/>
      <c r="X446" s="4"/>
      <c r="AC446" s="4"/>
    </row>
    <row r="447" ht="15.75" customHeight="1">
      <c r="T447" s="4"/>
      <c r="X447" s="4"/>
      <c r="AC447" s="4"/>
    </row>
    <row r="448" ht="15.75" customHeight="1">
      <c r="T448" s="4"/>
      <c r="X448" s="4"/>
      <c r="AC448" s="4"/>
    </row>
    <row r="449" ht="15.75" customHeight="1">
      <c r="T449" s="4"/>
      <c r="X449" s="4"/>
      <c r="AC449" s="4"/>
    </row>
    <row r="450" ht="15.75" customHeight="1">
      <c r="T450" s="4"/>
      <c r="X450" s="4"/>
      <c r="AC450" s="4"/>
    </row>
    <row r="451" ht="15.75" customHeight="1">
      <c r="T451" s="4"/>
      <c r="X451" s="4"/>
      <c r="AC451" s="4"/>
    </row>
    <row r="452" ht="15.75" customHeight="1">
      <c r="T452" s="4"/>
      <c r="X452" s="4"/>
      <c r="AC452" s="4"/>
    </row>
    <row r="453" ht="15.75" customHeight="1">
      <c r="T453" s="4"/>
      <c r="X453" s="4"/>
      <c r="AC453" s="4"/>
    </row>
    <row r="454" ht="15.75" customHeight="1">
      <c r="T454" s="4"/>
      <c r="X454" s="4"/>
      <c r="AC454" s="4"/>
    </row>
    <row r="455" ht="15.75" customHeight="1">
      <c r="T455" s="4"/>
      <c r="X455" s="4"/>
      <c r="AC455" s="4"/>
    </row>
    <row r="456" ht="15.75" customHeight="1">
      <c r="T456" s="4"/>
      <c r="X456" s="4"/>
      <c r="AC456" s="4"/>
    </row>
    <row r="457" ht="15.75" customHeight="1">
      <c r="T457" s="4"/>
      <c r="X457" s="4"/>
      <c r="AC457" s="4"/>
    </row>
    <row r="458" ht="15.75" customHeight="1">
      <c r="T458" s="4"/>
      <c r="X458" s="4"/>
      <c r="AC458" s="4"/>
    </row>
    <row r="459" ht="15.75" customHeight="1">
      <c r="T459" s="4"/>
      <c r="X459" s="4"/>
      <c r="AC459" s="4"/>
    </row>
    <row r="460" ht="15.75" customHeight="1">
      <c r="T460" s="4"/>
      <c r="X460" s="4"/>
      <c r="AC460" s="4"/>
    </row>
    <row r="461" ht="15.75" customHeight="1">
      <c r="T461" s="4"/>
      <c r="X461" s="4"/>
      <c r="AC461" s="4"/>
    </row>
    <row r="462" ht="15.75" customHeight="1">
      <c r="T462" s="4"/>
      <c r="X462" s="4"/>
      <c r="AC462" s="4"/>
    </row>
    <row r="463" ht="15.75" customHeight="1">
      <c r="T463" s="4"/>
      <c r="X463" s="4"/>
      <c r="AC463" s="4"/>
    </row>
    <row r="464" ht="15.75" customHeight="1">
      <c r="T464" s="4"/>
      <c r="X464" s="4"/>
      <c r="AC464" s="4"/>
    </row>
    <row r="465" ht="15.75" customHeight="1">
      <c r="T465" s="4"/>
      <c r="X465" s="4"/>
      <c r="AC465" s="4"/>
    </row>
    <row r="466" ht="15.75" customHeight="1">
      <c r="T466" s="4"/>
      <c r="X466" s="4"/>
      <c r="AC466" s="4"/>
    </row>
    <row r="467" ht="15.75" customHeight="1">
      <c r="T467" s="4"/>
      <c r="X467" s="4"/>
      <c r="AC467" s="4"/>
    </row>
    <row r="468" ht="15.75" customHeight="1">
      <c r="T468" s="4"/>
      <c r="X468" s="4"/>
      <c r="AC468" s="4"/>
    </row>
    <row r="469" ht="15.75" customHeight="1">
      <c r="T469" s="4"/>
      <c r="X469" s="4"/>
      <c r="AC469" s="4"/>
    </row>
    <row r="470" ht="15.75" customHeight="1">
      <c r="T470" s="4"/>
      <c r="X470" s="4"/>
      <c r="AC470" s="4"/>
    </row>
    <row r="471" ht="15.75" customHeight="1">
      <c r="T471" s="4"/>
      <c r="X471" s="4"/>
      <c r="AC471" s="4"/>
    </row>
    <row r="472" ht="15.75" customHeight="1">
      <c r="T472" s="4"/>
      <c r="X472" s="4"/>
      <c r="AC472" s="4"/>
    </row>
    <row r="473" ht="15.75" customHeight="1">
      <c r="T473" s="4"/>
      <c r="X473" s="4"/>
      <c r="AC473" s="4"/>
    </row>
    <row r="474" ht="15.75" customHeight="1">
      <c r="T474" s="4"/>
      <c r="X474" s="4"/>
      <c r="AC474" s="4"/>
    </row>
    <row r="475" ht="15.75" customHeight="1">
      <c r="T475" s="4"/>
      <c r="X475" s="4"/>
      <c r="AC475" s="4"/>
    </row>
    <row r="476" ht="15.75" customHeight="1">
      <c r="T476" s="4"/>
      <c r="X476" s="4"/>
      <c r="AC476" s="4"/>
    </row>
    <row r="477" ht="15.75" customHeight="1">
      <c r="T477" s="4"/>
      <c r="X477" s="4"/>
      <c r="AC477" s="4"/>
    </row>
    <row r="478" ht="15.75" customHeight="1">
      <c r="T478" s="4"/>
      <c r="X478" s="4"/>
      <c r="AC478" s="4"/>
    </row>
    <row r="479" ht="15.75" customHeight="1">
      <c r="T479" s="4"/>
      <c r="X479" s="4"/>
      <c r="AC479" s="4"/>
    </row>
    <row r="480" ht="15.75" customHeight="1">
      <c r="T480" s="4"/>
      <c r="X480" s="4"/>
      <c r="AC480" s="4"/>
    </row>
    <row r="481" ht="15.75" customHeight="1">
      <c r="T481" s="4"/>
      <c r="X481" s="4"/>
      <c r="AC481" s="4"/>
    </row>
    <row r="482" ht="15.75" customHeight="1">
      <c r="T482" s="4"/>
      <c r="X482" s="4"/>
      <c r="AC482" s="4"/>
    </row>
    <row r="483" ht="15.75" customHeight="1">
      <c r="T483" s="4"/>
      <c r="X483" s="4"/>
      <c r="AC483" s="4"/>
    </row>
    <row r="484" ht="15.75" customHeight="1">
      <c r="T484" s="4"/>
      <c r="X484" s="4"/>
      <c r="AC484" s="4"/>
    </row>
    <row r="485" ht="15.75" customHeight="1">
      <c r="T485" s="4"/>
      <c r="X485" s="4"/>
      <c r="AC485" s="4"/>
    </row>
    <row r="486" ht="15.75" customHeight="1">
      <c r="T486" s="4"/>
      <c r="X486" s="4"/>
      <c r="AC486" s="4"/>
    </row>
    <row r="487" ht="15.75" customHeight="1">
      <c r="T487" s="4"/>
      <c r="X487" s="4"/>
      <c r="AC487" s="4"/>
    </row>
    <row r="488" ht="15.75" customHeight="1">
      <c r="T488" s="4"/>
      <c r="X488" s="4"/>
      <c r="AC488" s="4"/>
    </row>
    <row r="489" ht="15.75" customHeight="1">
      <c r="T489" s="4"/>
      <c r="X489" s="4"/>
      <c r="AC489" s="4"/>
    </row>
    <row r="490" ht="15.75" customHeight="1">
      <c r="T490" s="4"/>
      <c r="X490" s="4"/>
      <c r="AC490" s="4"/>
    </row>
    <row r="491" ht="15.75" customHeight="1">
      <c r="T491" s="4"/>
      <c r="X491" s="4"/>
      <c r="AC491" s="4"/>
    </row>
    <row r="492" ht="15.75" customHeight="1">
      <c r="T492" s="4"/>
      <c r="X492" s="4"/>
      <c r="AC492" s="4"/>
    </row>
    <row r="493" ht="15.75" customHeight="1">
      <c r="T493" s="4"/>
      <c r="X493" s="4"/>
      <c r="AC493" s="4"/>
    </row>
    <row r="494" ht="15.75" customHeight="1">
      <c r="T494" s="4"/>
      <c r="X494" s="4"/>
      <c r="AC494" s="4"/>
    </row>
    <row r="495" ht="15.75" customHeight="1">
      <c r="T495" s="4"/>
      <c r="X495" s="4"/>
      <c r="AC495" s="4"/>
    </row>
    <row r="496" ht="15.75" customHeight="1">
      <c r="T496" s="4"/>
      <c r="X496" s="4"/>
      <c r="AC496" s="4"/>
    </row>
    <row r="497" ht="15.75" customHeight="1">
      <c r="T497" s="4"/>
      <c r="X497" s="4"/>
      <c r="AC497" s="4"/>
    </row>
    <row r="498" ht="15.75" customHeight="1">
      <c r="T498" s="4"/>
      <c r="X498" s="4"/>
      <c r="AC498" s="4"/>
    </row>
    <row r="499" ht="15.75" customHeight="1">
      <c r="T499" s="4"/>
      <c r="X499" s="4"/>
      <c r="AC499" s="4"/>
    </row>
    <row r="500" ht="15.75" customHeight="1">
      <c r="T500" s="4"/>
      <c r="X500" s="4"/>
      <c r="AC500" s="4"/>
    </row>
    <row r="501" ht="15.75" customHeight="1">
      <c r="T501" s="4"/>
      <c r="X501" s="4"/>
      <c r="AC501" s="4"/>
    </row>
    <row r="502" ht="15.75" customHeight="1">
      <c r="T502" s="4"/>
      <c r="X502" s="4"/>
      <c r="AC502" s="4"/>
    </row>
    <row r="503" ht="15.75" customHeight="1">
      <c r="T503" s="4"/>
      <c r="X503" s="4"/>
      <c r="AC503" s="4"/>
    </row>
    <row r="504" ht="15.75" customHeight="1">
      <c r="T504" s="4"/>
      <c r="X504" s="4"/>
      <c r="AC504" s="4"/>
    </row>
    <row r="505" ht="15.75" customHeight="1">
      <c r="T505" s="4"/>
      <c r="X505" s="4"/>
      <c r="AC505" s="4"/>
    </row>
    <row r="506" ht="15.75" customHeight="1">
      <c r="T506" s="4"/>
      <c r="X506" s="4"/>
      <c r="AC506" s="4"/>
    </row>
    <row r="507" ht="15.75" customHeight="1">
      <c r="T507" s="4"/>
      <c r="X507" s="4"/>
      <c r="AC507" s="4"/>
    </row>
    <row r="508" ht="15.75" customHeight="1">
      <c r="T508" s="4"/>
      <c r="X508" s="4"/>
      <c r="AC508" s="4"/>
    </row>
    <row r="509" ht="15.75" customHeight="1">
      <c r="T509" s="4"/>
      <c r="X509" s="4"/>
      <c r="AC509" s="4"/>
    </row>
    <row r="510" ht="15.75" customHeight="1">
      <c r="T510" s="4"/>
      <c r="X510" s="4"/>
      <c r="AC510" s="4"/>
    </row>
    <row r="511" ht="15.75" customHeight="1">
      <c r="T511" s="4"/>
      <c r="X511" s="4"/>
      <c r="AC511" s="4"/>
    </row>
    <row r="512" ht="15.75" customHeight="1">
      <c r="T512" s="4"/>
      <c r="X512" s="4"/>
      <c r="AC512" s="4"/>
    </row>
    <row r="513" ht="15.75" customHeight="1">
      <c r="T513" s="4"/>
      <c r="X513" s="4"/>
      <c r="AC513" s="4"/>
    </row>
    <row r="514" ht="15.75" customHeight="1">
      <c r="T514" s="4"/>
      <c r="X514" s="4"/>
      <c r="AC514" s="4"/>
    </row>
    <row r="515" ht="15.75" customHeight="1">
      <c r="T515" s="4"/>
      <c r="X515" s="4"/>
      <c r="AC515" s="4"/>
    </row>
    <row r="516" ht="15.75" customHeight="1">
      <c r="T516" s="4"/>
      <c r="X516" s="4"/>
      <c r="AC516" s="4"/>
    </row>
    <row r="517" ht="15.75" customHeight="1">
      <c r="T517" s="4"/>
      <c r="X517" s="4"/>
      <c r="AC517" s="4"/>
    </row>
    <row r="518" ht="15.75" customHeight="1">
      <c r="T518" s="4"/>
      <c r="X518" s="4"/>
      <c r="AC518" s="4"/>
    </row>
    <row r="519" ht="15.75" customHeight="1">
      <c r="T519" s="4"/>
      <c r="X519" s="4"/>
      <c r="AC519" s="4"/>
    </row>
    <row r="520" ht="15.75" customHeight="1">
      <c r="T520" s="4"/>
      <c r="X520" s="4"/>
      <c r="AC520" s="4"/>
    </row>
    <row r="521" ht="15.75" customHeight="1">
      <c r="T521" s="4"/>
      <c r="X521" s="4"/>
      <c r="AC521" s="4"/>
    </row>
    <row r="522" ht="15.75" customHeight="1">
      <c r="T522" s="4"/>
      <c r="X522" s="4"/>
      <c r="AC522" s="4"/>
    </row>
    <row r="523" ht="15.75" customHeight="1">
      <c r="T523" s="4"/>
      <c r="X523" s="4"/>
      <c r="AC523" s="4"/>
    </row>
    <row r="524" ht="15.75" customHeight="1">
      <c r="T524" s="4"/>
      <c r="X524" s="4"/>
      <c r="AC524" s="4"/>
    </row>
    <row r="525" ht="15.75" customHeight="1">
      <c r="T525" s="4"/>
      <c r="X525" s="4"/>
      <c r="AC525" s="4"/>
    </row>
    <row r="526" ht="15.75" customHeight="1">
      <c r="T526" s="4"/>
      <c r="X526" s="4"/>
      <c r="AC526" s="4"/>
    </row>
    <row r="527" ht="15.75" customHeight="1">
      <c r="T527" s="4"/>
      <c r="X527" s="4"/>
      <c r="AC527" s="4"/>
    </row>
    <row r="528" ht="15.75" customHeight="1">
      <c r="T528" s="4"/>
      <c r="X528" s="4"/>
      <c r="AC528" s="4"/>
    </row>
    <row r="529" ht="15.75" customHeight="1">
      <c r="T529" s="4"/>
      <c r="X529" s="4"/>
      <c r="AC529" s="4"/>
    </row>
    <row r="530" ht="15.75" customHeight="1">
      <c r="T530" s="4"/>
      <c r="X530" s="4"/>
      <c r="AC530" s="4"/>
    </row>
    <row r="531" ht="15.75" customHeight="1">
      <c r="T531" s="4"/>
      <c r="X531" s="4"/>
      <c r="AC531" s="4"/>
    </row>
    <row r="532" ht="15.75" customHeight="1">
      <c r="T532" s="4"/>
      <c r="X532" s="4"/>
      <c r="AC532" s="4"/>
    </row>
    <row r="533" ht="15.75" customHeight="1">
      <c r="T533" s="4"/>
      <c r="X533" s="4"/>
      <c r="AC533" s="4"/>
    </row>
    <row r="534" ht="15.75" customHeight="1">
      <c r="T534" s="4"/>
      <c r="X534" s="4"/>
      <c r="AC534" s="4"/>
    </row>
    <row r="535" ht="15.75" customHeight="1">
      <c r="T535" s="4"/>
      <c r="X535" s="4"/>
      <c r="AC535" s="4"/>
    </row>
    <row r="536" ht="15.75" customHeight="1">
      <c r="T536" s="4"/>
      <c r="X536" s="4"/>
      <c r="AC536" s="4"/>
    </row>
    <row r="537" ht="15.75" customHeight="1">
      <c r="T537" s="4"/>
      <c r="X537" s="4"/>
      <c r="AC537" s="4"/>
    </row>
    <row r="538" ht="15.75" customHeight="1">
      <c r="T538" s="4"/>
      <c r="X538" s="4"/>
      <c r="AC538" s="4"/>
    </row>
    <row r="539" ht="15.75" customHeight="1">
      <c r="T539" s="4"/>
      <c r="X539" s="4"/>
      <c r="AC539" s="4"/>
    </row>
    <row r="540" ht="15.75" customHeight="1">
      <c r="T540" s="4"/>
      <c r="X540" s="4"/>
      <c r="AC540" s="4"/>
    </row>
    <row r="541" ht="15.75" customHeight="1">
      <c r="T541" s="4"/>
      <c r="X541" s="4"/>
      <c r="AC541" s="4"/>
    </row>
    <row r="542" ht="15.75" customHeight="1">
      <c r="T542" s="4"/>
      <c r="X542" s="4"/>
      <c r="AC542" s="4"/>
    </row>
    <row r="543" ht="15.75" customHeight="1">
      <c r="T543" s="4"/>
      <c r="X543" s="4"/>
      <c r="AC543" s="4"/>
    </row>
    <row r="544" ht="15.75" customHeight="1">
      <c r="T544" s="4"/>
      <c r="X544" s="4"/>
      <c r="AC544" s="4"/>
    </row>
    <row r="545" ht="15.75" customHeight="1">
      <c r="T545" s="4"/>
      <c r="X545" s="4"/>
      <c r="AC545" s="4"/>
    </row>
    <row r="546" ht="15.75" customHeight="1">
      <c r="T546" s="4"/>
      <c r="X546" s="4"/>
      <c r="AC546" s="4"/>
    </row>
    <row r="547" ht="15.75" customHeight="1">
      <c r="T547" s="4"/>
      <c r="X547" s="4"/>
      <c r="AC547" s="4"/>
    </row>
    <row r="548" ht="15.75" customHeight="1">
      <c r="T548" s="4"/>
      <c r="X548" s="4"/>
      <c r="AC548" s="4"/>
    </row>
    <row r="549" ht="15.75" customHeight="1">
      <c r="T549" s="4"/>
      <c r="X549" s="4"/>
      <c r="AC549" s="4"/>
    </row>
    <row r="550" ht="15.75" customHeight="1">
      <c r="T550" s="4"/>
      <c r="X550" s="4"/>
      <c r="AC550" s="4"/>
    </row>
    <row r="551" ht="15.75" customHeight="1">
      <c r="T551" s="4"/>
      <c r="X551" s="4"/>
      <c r="AC551" s="4"/>
    </row>
    <row r="552" ht="15.75" customHeight="1">
      <c r="T552" s="4"/>
      <c r="X552" s="4"/>
      <c r="AC552" s="4"/>
    </row>
    <row r="553" ht="15.75" customHeight="1">
      <c r="T553" s="4"/>
      <c r="X553" s="4"/>
      <c r="AC553" s="4"/>
    </row>
    <row r="554" ht="15.75" customHeight="1">
      <c r="T554" s="4"/>
      <c r="X554" s="4"/>
      <c r="AC554" s="4"/>
    </row>
    <row r="555" ht="15.75" customHeight="1">
      <c r="T555" s="4"/>
      <c r="X555" s="4"/>
      <c r="AC555" s="4"/>
    </row>
    <row r="556" ht="15.75" customHeight="1">
      <c r="T556" s="4"/>
      <c r="X556" s="4"/>
      <c r="AC556" s="4"/>
    </row>
    <row r="557" ht="15.75" customHeight="1">
      <c r="T557" s="4"/>
      <c r="X557" s="4"/>
      <c r="AC557" s="4"/>
    </row>
    <row r="558" ht="15.75" customHeight="1">
      <c r="T558" s="4"/>
      <c r="X558" s="4"/>
      <c r="AC558" s="4"/>
    </row>
    <row r="559" ht="15.75" customHeight="1">
      <c r="T559" s="4"/>
      <c r="X559" s="4"/>
      <c r="AC559" s="4"/>
    </row>
    <row r="560" ht="15.75" customHeight="1">
      <c r="T560" s="4"/>
      <c r="X560" s="4"/>
      <c r="AC560" s="4"/>
    </row>
    <row r="561" ht="15.75" customHeight="1">
      <c r="T561" s="4"/>
      <c r="X561" s="4"/>
      <c r="AC561" s="4"/>
    </row>
    <row r="562" ht="15.75" customHeight="1">
      <c r="T562" s="4"/>
      <c r="X562" s="4"/>
      <c r="AC562" s="4"/>
    </row>
    <row r="563" ht="15.75" customHeight="1">
      <c r="T563" s="4"/>
      <c r="X563" s="4"/>
      <c r="AC563" s="4"/>
    </row>
    <row r="564" ht="15.75" customHeight="1">
      <c r="T564" s="4"/>
      <c r="X564" s="4"/>
      <c r="AC564" s="4"/>
    </row>
    <row r="565" ht="15.75" customHeight="1">
      <c r="T565" s="4"/>
      <c r="X565" s="4"/>
      <c r="AC565" s="4"/>
    </row>
    <row r="566" ht="15.75" customHeight="1">
      <c r="T566" s="4"/>
      <c r="X566" s="4"/>
      <c r="AC566" s="4"/>
    </row>
    <row r="567" ht="15.75" customHeight="1">
      <c r="T567" s="4"/>
      <c r="X567" s="4"/>
      <c r="AC567" s="4"/>
    </row>
    <row r="568" ht="15.75" customHeight="1">
      <c r="T568" s="4"/>
      <c r="X568" s="4"/>
      <c r="AC568" s="4"/>
    </row>
    <row r="569" ht="15.75" customHeight="1">
      <c r="T569" s="4"/>
      <c r="X569" s="4"/>
      <c r="AC569" s="4"/>
    </row>
    <row r="570" ht="15.75" customHeight="1">
      <c r="T570" s="4"/>
      <c r="X570" s="4"/>
      <c r="AC570" s="4"/>
    </row>
    <row r="571" ht="15.75" customHeight="1">
      <c r="T571" s="4"/>
      <c r="X571" s="4"/>
      <c r="AC571" s="4"/>
    </row>
    <row r="572" ht="15.75" customHeight="1">
      <c r="T572" s="4"/>
      <c r="X572" s="4"/>
      <c r="AC572" s="4"/>
    </row>
    <row r="573" ht="15.75" customHeight="1">
      <c r="T573" s="4"/>
      <c r="X573" s="4"/>
      <c r="AC573" s="4"/>
    </row>
    <row r="574" ht="15.75" customHeight="1">
      <c r="T574" s="4"/>
      <c r="X574" s="4"/>
      <c r="AC574" s="4"/>
    </row>
    <row r="575" ht="15.75" customHeight="1">
      <c r="T575" s="4"/>
      <c r="X575" s="4"/>
      <c r="AC575" s="4"/>
    </row>
    <row r="576" ht="15.75" customHeight="1">
      <c r="T576" s="4"/>
      <c r="X576" s="4"/>
      <c r="AC576" s="4"/>
    </row>
    <row r="577" ht="15.75" customHeight="1">
      <c r="T577" s="4"/>
      <c r="X577" s="4"/>
      <c r="AC577" s="4"/>
    </row>
    <row r="578" ht="15.75" customHeight="1">
      <c r="T578" s="4"/>
      <c r="X578" s="4"/>
      <c r="AC578" s="4"/>
    </row>
    <row r="579" ht="15.75" customHeight="1">
      <c r="T579" s="4"/>
      <c r="X579" s="4"/>
      <c r="AC579" s="4"/>
    </row>
    <row r="580" ht="15.75" customHeight="1">
      <c r="T580" s="4"/>
      <c r="X580" s="4"/>
      <c r="AC580" s="4"/>
    </row>
    <row r="581" ht="15.75" customHeight="1">
      <c r="T581" s="4"/>
      <c r="X581" s="4"/>
      <c r="AC581" s="4"/>
    </row>
    <row r="582" ht="15.75" customHeight="1">
      <c r="T582" s="4"/>
      <c r="X582" s="4"/>
      <c r="AC582" s="4"/>
    </row>
    <row r="583" ht="15.75" customHeight="1">
      <c r="T583" s="4"/>
      <c r="X583" s="4"/>
      <c r="AC583" s="4"/>
    </row>
    <row r="584" ht="15.75" customHeight="1">
      <c r="T584" s="4"/>
      <c r="X584" s="4"/>
      <c r="AC584" s="4"/>
    </row>
    <row r="585" ht="15.75" customHeight="1">
      <c r="T585" s="4"/>
      <c r="X585" s="4"/>
      <c r="AC585" s="4"/>
    </row>
    <row r="586" ht="15.75" customHeight="1">
      <c r="T586" s="4"/>
      <c r="X586" s="4"/>
      <c r="AC586" s="4"/>
    </row>
    <row r="587" ht="15.75" customHeight="1">
      <c r="T587" s="4"/>
      <c r="X587" s="4"/>
      <c r="AC587" s="4"/>
    </row>
    <row r="588" ht="15.75" customHeight="1">
      <c r="T588" s="4"/>
      <c r="X588" s="4"/>
      <c r="AC588" s="4"/>
    </row>
    <row r="589" ht="15.75" customHeight="1">
      <c r="T589" s="4"/>
      <c r="X589" s="4"/>
      <c r="AC589" s="4"/>
    </row>
    <row r="590" ht="15.75" customHeight="1">
      <c r="T590" s="4"/>
      <c r="X590" s="4"/>
      <c r="AC590" s="4"/>
    </row>
    <row r="591" ht="15.75" customHeight="1">
      <c r="T591" s="4"/>
      <c r="X591" s="4"/>
      <c r="AC591" s="4"/>
    </row>
    <row r="592" ht="15.75" customHeight="1">
      <c r="T592" s="4"/>
      <c r="X592" s="4"/>
      <c r="AC592" s="4"/>
    </row>
    <row r="593" ht="15.75" customHeight="1">
      <c r="T593" s="4"/>
      <c r="X593" s="4"/>
      <c r="AC593" s="4"/>
    </row>
    <row r="594" ht="15.75" customHeight="1">
      <c r="T594" s="4"/>
      <c r="X594" s="4"/>
      <c r="AC594" s="4"/>
    </row>
    <row r="595" ht="15.75" customHeight="1">
      <c r="T595" s="4"/>
      <c r="X595" s="4"/>
      <c r="AC595" s="4"/>
    </row>
    <row r="596" ht="15.75" customHeight="1">
      <c r="T596" s="4"/>
      <c r="X596" s="4"/>
      <c r="AC596" s="4"/>
    </row>
    <row r="597" ht="15.75" customHeight="1">
      <c r="T597" s="4"/>
      <c r="X597" s="4"/>
      <c r="AC597" s="4"/>
    </row>
    <row r="598" ht="15.75" customHeight="1">
      <c r="T598" s="4"/>
      <c r="X598" s="4"/>
      <c r="AC598" s="4"/>
    </row>
    <row r="599" ht="15.75" customHeight="1">
      <c r="T599" s="4"/>
      <c r="X599" s="4"/>
      <c r="AC599" s="4"/>
    </row>
    <row r="600" ht="15.75" customHeight="1">
      <c r="T600" s="4"/>
      <c r="X600" s="4"/>
      <c r="AC600" s="4"/>
    </row>
    <row r="601" ht="15.75" customHeight="1">
      <c r="T601" s="4"/>
      <c r="X601" s="4"/>
      <c r="AC601" s="4"/>
    </row>
    <row r="602" ht="15.75" customHeight="1">
      <c r="T602" s="4"/>
      <c r="X602" s="4"/>
      <c r="AC602" s="4"/>
    </row>
    <row r="603" ht="15.75" customHeight="1">
      <c r="T603" s="4"/>
      <c r="X603" s="4"/>
      <c r="AC603" s="4"/>
    </row>
    <row r="604" ht="15.75" customHeight="1">
      <c r="T604" s="4"/>
      <c r="X604" s="4"/>
      <c r="AC604" s="4"/>
    </row>
    <row r="605" ht="15.75" customHeight="1">
      <c r="T605" s="4"/>
      <c r="X605" s="4"/>
      <c r="AC605" s="4"/>
    </row>
    <row r="606" ht="15.75" customHeight="1">
      <c r="T606" s="4"/>
      <c r="X606" s="4"/>
      <c r="AC606" s="4"/>
    </row>
    <row r="607" ht="15.75" customHeight="1">
      <c r="T607" s="4"/>
      <c r="X607" s="4"/>
      <c r="AC607" s="4"/>
    </row>
    <row r="608" ht="15.75" customHeight="1">
      <c r="T608" s="4"/>
      <c r="X608" s="4"/>
      <c r="AC608" s="4"/>
    </row>
    <row r="609" ht="15.75" customHeight="1">
      <c r="T609" s="4"/>
      <c r="X609" s="4"/>
      <c r="AC609" s="4"/>
    </row>
    <row r="610" ht="15.75" customHeight="1">
      <c r="T610" s="4"/>
      <c r="X610" s="4"/>
      <c r="AC610" s="4"/>
    </row>
    <row r="611" ht="15.75" customHeight="1">
      <c r="T611" s="4"/>
      <c r="X611" s="4"/>
      <c r="AC611" s="4"/>
    </row>
    <row r="612" ht="15.75" customHeight="1">
      <c r="T612" s="4"/>
      <c r="X612" s="4"/>
      <c r="AC612" s="4"/>
    </row>
    <row r="613" ht="15.75" customHeight="1">
      <c r="T613" s="4"/>
      <c r="X613" s="4"/>
      <c r="AC613" s="4"/>
    </row>
    <row r="614" ht="15.75" customHeight="1">
      <c r="T614" s="4"/>
      <c r="X614" s="4"/>
      <c r="AC614" s="4"/>
    </row>
    <row r="615" ht="15.75" customHeight="1">
      <c r="T615" s="4"/>
      <c r="X615" s="4"/>
      <c r="AC615" s="4"/>
    </row>
    <row r="616" ht="15.75" customHeight="1">
      <c r="T616" s="4"/>
      <c r="X616" s="4"/>
      <c r="AC616" s="4"/>
    </row>
    <row r="617" ht="15.75" customHeight="1">
      <c r="T617" s="4"/>
      <c r="X617" s="4"/>
      <c r="AC617" s="4"/>
    </row>
    <row r="618" ht="15.75" customHeight="1">
      <c r="T618" s="4"/>
      <c r="X618" s="4"/>
      <c r="AC618" s="4"/>
    </row>
    <row r="619" ht="15.75" customHeight="1">
      <c r="T619" s="4"/>
      <c r="X619" s="4"/>
      <c r="AC619" s="4"/>
    </row>
    <row r="620" ht="15.75" customHeight="1">
      <c r="T620" s="4"/>
      <c r="X620" s="4"/>
      <c r="AC620" s="4"/>
    </row>
    <row r="621" ht="15.75" customHeight="1">
      <c r="T621" s="4"/>
      <c r="X621" s="4"/>
      <c r="AC621" s="4"/>
    </row>
    <row r="622" ht="15.75" customHeight="1">
      <c r="T622" s="4"/>
      <c r="X622" s="4"/>
      <c r="AC622" s="4"/>
    </row>
    <row r="623" ht="15.75" customHeight="1">
      <c r="T623" s="4"/>
      <c r="X623" s="4"/>
      <c r="AC623" s="4"/>
    </row>
    <row r="624" ht="15.75" customHeight="1">
      <c r="T624" s="4"/>
      <c r="X624" s="4"/>
      <c r="AC624" s="4"/>
    </row>
    <row r="625" ht="15.75" customHeight="1">
      <c r="T625" s="4"/>
      <c r="X625" s="4"/>
      <c r="AC625" s="4"/>
    </row>
    <row r="626" ht="15.75" customHeight="1">
      <c r="T626" s="4"/>
      <c r="X626" s="4"/>
      <c r="AC626" s="4"/>
    </row>
    <row r="627" ht="15.75" customHeight="1">
      <c r="T627" s="4"/>
      <c r="X627" s="4"/>
      <c r="AC627" s="4"/>
    </row>
    <row r="628" ht="15.75" customHeight="1">
      <c r="T628" s="4"/>
      <c r="X628" s="4"/>
      <c r="AC628" s="4"/>
    </row>
    <row r="629" ht="15.75" customHeight="1">
      <c r="T629" s="4"/>
      <c r="X629" s="4"/>
      <c r="AC629" s="4"/>
    </row>
    <row r="630" ht="15.75" customHeight="1">
      <c r="T630" s="4"/>
      <c r="X630" s="4"/>
      <c r="AC630" s="4"/>
    </row>
    <row r="631" ht="15.75" customHeight="1">
      <c r="T631" s="4"/>
      <c r="X631" s="4"/>
      <c r="AC631" s="4"/>
    </row>
    <row r="632" ht="15.75" customHeight="1">
      <c r="T632" s="4"/>
      <c r="X632" s="4"/>
      <c r="AC632" s="4"/>
    </row>
    <row r="633" ht="15.75" customHeight="1">
      <c r="T633" s="4"/>
      <c r="X633" s="4"/>
      <c r="AC633" s="4"/>
    </row>
    <row r="634" ht="15.75" customHeight="1">
      <c r="T634" s="4"/>
      <c r="X634" s="4"/>
      <c r="AC634" s="4"/>
    </row>
    <row r="635" ht="15.75" customHeight="1">
      <c r="T635" s="4"/>
      <c r="X635" s="4"/>
      <c r="AC635" s="4"/>
    </row>
    <row r="636" ht="15.75" customHeight="1">
      <c r="T636" s="4"/>
      <c r="X636" s="4"/>
      <c r="AC636" s="4"/>
    </row>
    <row r="637" ht="15.75" customHeight="1">
      <c r="T637" s="4"/>
      <c r="X637" s="4"/>
      <c r="AC637" s="4"/>
    </row>
    <row r="638" ht="15.75" customHeight="1">
      <c r="T638" s="4"/>
      <c r="X638" s="4"/>
      <c r="AC638" s="4"/>
    </row>
    <row r="639" ht="15.75" customHeight="1">
      <c r="T639" s="4"/>
      <c r="X639" s="4"/>
      <c r="AC639" s="4"/>
    </row>
    <row r="640" ht="15.75" customHeight="1">
      <c r="T640" s="4"/>
      <c r="X640" s="4"/>
      <c r="AC640" s="4"/>
    </row>
    <row r="641" ht="15.75" customHeight="1">
      <c r="T641" s="4"/>
      <c r="X641" s="4"/>
      <c r="AC641" s="4"/>
    </row>
    <row r="642" ht="15.75" customHeight="1">
      <c r="T642" s="4"/>
      <c r="X642" s="4"/>
      <c r="AC642" s="4"/>
    </row>
    <row r="643" ht="15.75" customHeight="1">
      <c r="T643" s="4"/>
      <c r="X643" s="4"/>
      <c r="AC643" s="4"/>
    </row>
    <row r="644" ht="15.75" customHeight="1">
      <c r="T644" s="4"/>
      <c r="X644" s="4"/>
      <c r="AC644" s="4"/>
    </row>
    <row r="645" ht="15.75" customHeight="1">
      <c r="T645" s="4"/>
      <c r="X645" s="4"/>
      <c r="AC645" s="4"/>
    </row>
    <row r="646" ht="15.75" customHeight="1">
      <c r="T646" s="4"/>
      <c r="X646" s="4"/>
      <c r="AC646" s="4"/>
    </row>
    <row r="647" ht="15.75" customHeight="1">
      <c r="T647" s="4"/>
      <c r="X647" s="4"/>
      <c r="AC647" s="4"/>
    </row>
    <row r="648" ht="15.75" customHeight="1">
      <c r="T648" s="4"/>
      <c r="X648" s="4"/>
      <c r="AC648" s="4"/>
    </row>
    <row r="649" ht="15.75" customHeight="1">
      <c r="T649" s="4"/>
      <c r="X649" s="4"/>
      <c r="AC649" s="4"/>
    </row>
    <row r="650" ht="15.75" customHeight="1">
      <c r="T650" s="4"/>
      <c r="X650" s="4"/>
      <c r="AC650" s="4"/>
    </row>
    <row r="651" ht="15.75" customHeight="1">
      <c r="T651" s="4"/>
      <c r="X651" s="4"/>
      <c r="AC651" s="4"/>
    </row>
    <row r="652" ht="15.75" customHeight="1">
      <c r="T652" s="4"/>
      <c r="X652" s="4"/>
      <c r="AC652" s="4"/>
    </row>
    <row r="653" ht="15.75" customHeight="1">
      <c r="T653" s="4"/>
      <c r="X653" s="4"/>
      <c r="AC653" s="4"/>
    </row>
    <row r="654" ht="15.75" customHeight="1">
      <c r="T654" s="4"/>
      <c r="X654" s="4"/>
      <c r="AC654" s="4"/>
    </row>
    <row r="655" ht="15.75" customHeight="1">
      <c r="T655" s="4"/>
      <c r="X655" s="4"/>
      <c r="AC655" s="4"/>
    </row>
    <row r="656" ht="15.75" customHeight="1">
      <c r="T656" s="4"/>
      <c r="X656" s="4"/>
      <c r="AC656" s="4"/>
    </row>
    <row r="657" ht="15.75" customHeight="1">
      <c r="T657" s="4"/>
      <c r="X657" s="4"/>
      <c r="AC657" s="4"/>
    </row>
    <row r="658" ht="15.75" customHeight="1">
      <c r="T658" s="4"/>
      <c r="X658" s="4"/>
      <c r="AC658" s="4"/>
    </row>
    <row r="659" ht="15.75" customHeight="1">
      <c r="T659" s="4"/>
      <c r="X659" s="4"/>
      <c r="AC659" s="4"/>
    </row>
    <row r="660" ht="15.75" customHeight="1">
      <c r="T660" s="4"/>
      <c r="X660" s="4"/>
      <c r="AC660" s="4"/>
    </row>
    <row r="661" ht="15.75" customHeight="1">
      <c r="T661" s="4"/>
      <c r="X661" s="4"/>
      <c r="AC661" s="4"/>
    </row>
    <row r="662" ht="15.75" customHeight="1">
      <c r="T662" s="4"/>
      <c r="X662" s="4"/>
      <c r="AC662" s="4"/>
    </row>
    <row r="663" ht="15.75" customHeight="1">
      <c r="T663" s="4"/>
      <c r="X663" s="4"/>
      <c r="AC663" s="4"/>
    </row>
    <row r="664" ht="15.75" customHeight="1">
      <c r="T664" s="4"/>
      <c r="X664" s="4"/>
      <c r="AC664" s="4"/>
    </row>
    <row r="665" ht="15.75" customHeight="1">
      <c r="T665" s="4"/>
      <c r="X665" s="4"/>
      <c r="AC665" s="4"/>
    </row>
    <row r="666" ht="15.75" customHeight="1">
      <c r="T666" s="4"/>
      <c r="X666" s="4"/>
      <c r="AC666" s="4"/>
    </row>
    <row r="667" ht="15.75" customHeight="1">
      <c r="T667" s="4"/>
      <c r="X667" s="4"/>
      <c r="AC667" s="4"/>
    </row>
    <row r="668" ht="15.75" customHeight="1">
      <c r="T668" s="4"/>
      <c r="X668" s="4"/>
      <c r="AC668" s="4"/>
    </row>
    <row r="669" ht="15.75" customHeight="1">
      <c r="T669" s="4"/>
      <c r="X669" s="4"/>
      <c r="AC669" s="4"/>
    </row>
    <row r="670" ht="15.75" customHeight="1">
      <c r="T670" s="4"/>
      <c r="X670" s="4"/>
      <c r="AC670" s="4"/>
    </row>
    <row r="671" ht="15.75" customHeight="1">
      <c r="T671" s="4"/>
      <c r="X671" s="4"/>
      <c r="AC671" s="4"/>
    </row>
    <row r="672" ht="15.75" customHeight="1">
      <c r="T672" s="4"/>
      <c r="X672" s="4"/>
      <c r="AC672" s="4"/>
    </row>
    <row r="673" ht="15.75" customHeight="1">
      <c r="T673" s="4"/>
      <c r="X673" s="4"/>
      <c r="AC673" s="4"/>
    </row>
    <row r="674" ht="15.75" customHeight="1">
      <c r="T674" s="4"/>
      <c r="X674" s="4"/>
      <c r="AC674" s="4"/>
    </row>
    <row r="675" ht="15.75" customHeight="1">
      <c r="T675" s="4"/>
      <c r="X675" s="4"/>
      <c r="AC675" s="4"/>
    </row>
    <row r="676" ht="15.75" customHeight="1">
      <c r="T676" s="4"/>
      <c r="X676" s="4"/>
      <c r="AC676" s="4"/>
    </row>
    <row r="677" ht="15.75" customHeight="1">
      <c r="T677" s="4"/>
      <c r="X677" s="4"/>
      <c r="AC677" s="4"/>
    </row>
    <row r="678" ht="15.75" customHeight="1">
      <c r="T678" s="4"/>
      <c r="X678" s="4"/>
      <c r="AC678" s="4"/>
    </row>
    <row r="679" ht="15.75" customHeight="1">
      <c r="T679" s="4"/>
      <c r="X679" s="4"/>
      <c r="AC679" s="4"/>
    </row>
    <row r="680" ht="15.75" customHeight="1">
      <c r="T680" s="4"/>
      <c r="X680" s="4"/>
      <c r="AC680" s="4"/>
    </row>
    <row r="681" ht="15.75" customHeight="1">
      <c r="T681" s="4"/>
      <c r="X681" s="4"/>
      <c r="AC681" s="4"/>
    </row>
    <row r="682" ht="15.75" customHeight="1">
      <c r="T682" s="4"/>
      <c r="X682" s="4"/>
      <c r="AC682" s="4"/>
    </row>
    <row r="683" ht="15.75" customHeight="1">
      <c r="T683" s="4"/>
      <c r="X683" s="4"/>
      <c r="AC683" s="4"/>
    </row>
    <row r="684" ht="15.75" customHeight="1">
      <c r="T684" s="4"/>
      <c r="X684" s="4"/>
      <c r="AC684" s="4"/>
    </row>
    <row r="685" ht="15.75" customHeight="1">
      <c r="T685" s="4"/>
      <c r="X685" s="4"/>
      <c r="AC685" s="4"/>
    </row>
    <row r="686" ht="15.75" customHeight="1">
      <c r="T686" s="4"/>
      <c r="X686" s="4"/>
      <c r="AC686" s="4"/>
    </row>
    <row r="687" ht="15.75" customHeight="1">
      <c r="T687" s="4"/>
      <c r="X687" s="4"/>
      <c r="AC687" s="4"/>
    </row>
    <row r="688" ht="15.75" customHeight="1">
      <c r="T688" s="4"/>
      <c r="X688" s="4"/>
      <c r="AC688" s="4"/>
    </row>
    <row r="689" ht="15.75" customHeight="1">
      <c r="T689" s="4"/>
      <c r="X689" s="4"/>
      <c r="AC689" s="4"/>
    </row>
    <row r="690" ht="15.75" customHeight="1">
      <c r="T690" s="4"/>
      <c r="X690" s="4"/>
      <c r="AC690" s="4"/>
    </row>
    <row r="691" ht="15.75" customHeight="1">
      <c r="T691" s="4"/>
      <c r="X691" s="4"/>
      <c r="AC691" s="4"/>
    </row>
    <row r="692" ht="15.75" customHeight="1">
      <c r="T692" s="4"/>
      <c r="X692" s="4"/>
      <c r="AC692" s="4"/>
    </row>
    <row r="693" ht="15.75" customHeight="1">
      <c r="T693" s="4"/>
      <c r="X693" s="4"/>
      <c r="AC693" s="4"/>
    </row>
    <row r="694" ht="15.75" customHeight="1">
      <c r="T694" s="4"/>
      <c r="X694" s="4"/>
      <c r="AC694" s="4"/>
    </row>
    <row r="695" ht="15.75" customHeight="1">
      <c r="T695" s="4"/>
      <c r="X695" s="4"/>
      <c r="AC695" s="4"/>
    </row>
    <row r="696" ht="15.75" customHeight="1">
      <c r="T696" s="4"/>
      <c r="X696" s="4"/>
      <c r="AC696" s="4"/>
    </row>
    <row r="697" ht="15.75" customHeight="1">
      <c r="T697" s="4"/>
      <c r="X697" s="4"/>
      <c r="AC697" s="4"/>
    </row>
    <row r="698" ht="15.75" customHeight="1">
      <c r="T698" s="4"/>
      <c r="X698" s="4"/>
      <c r="AC698" s="4"/>
    </row>
    <row r="699" ht="15.75" customHeight="1">
      <c r="T699" s="4"/>
      <c r="X699" s="4"/>
      <c r="AC699" s="4"/>
    </row>
    <row r="700" ht="15.75" customHeight="1">
      <c r="T700" s="4"/>
      <c r="X700" s="4"/>
      <c r="AC700" s="4"/>
    </row>
    <row r="701" ht="15.75" customHeight="1">
      <c r="T701" s="4"/>
      <c r="X701" s="4"/>
      <c r="AC701" s="4"/>
    </row>
    <row r="702" ht="15.75" customHeight="1">
      <c r="T702" s="4"/>
      <c r="X702" s="4"/>
      <c r="AC702" s="4"/>
    </row>
    <row r="703" ht="15.75" customHeight="1">
      <c r="T703" s="4"/>
      <c r="X703" s="4"/>
      <c r="AC703" s="4"/>
    </row>
    <row r="704" ht="15.75" customHeight="1">
      <c r="T704" s="4"/>
      <c r="X704" s="4"/>
      <c r="AC704" s="4"/>
    </row>
    <row r="705" ht="15.75" customHeight="1">
      <c r="T705" s="4"/>
      <c r="X705" s="4"/>
      <c r="AC705" s="4"/>
    </row>
    <row r="706" ht="15.75" customHeight="1">
      <c r="T706" s="4"/>
      <c r="X706" s="4"/>
      <c r="AC706" s="4"/>
    </row>
    <row r="707" ht="15.75" customHeight="1">
      <c r="T707" s="4"/>
      <c r="X707" s="4"/>
      <c r="AC707" s="4"/>
    </row>
    <row r="708" ht="15.75" customHeight="1">
      <c r="T708" s="4"/>
      <c r="X708" s="4"/>
      <c r="AC708" s="4"/>
    </row>
    <row r="709" ht="15.75" customHeight="1">
      <c r="T709" s="4"/>
      <c r="X709" s="4"/>
      <c r="AC709" s="4"/>
    </row>
    <row r="710" ht="15.75" customHeight="1">
      <c r="T710" s="4"/>
      <c r="X710" s="4"/>
      <c r="AC710" s="4"/>
    </row>
    <row r="711" ht="15.75" customHeight="1">
      <c r="T711" s="4"/>
      <c r="X711" s="4"/>
      <c r="AC711" s="4"/>
    </row>
    <row r="712" ht="15.75" customHeight="1">
      <c r="T712" s="4"/>
      <c r="X712" s="4"/>
      <c r="AC712" s="4"/>
    </row>
    <row r="713" ht="15.75" customHeight="1">
      <c r="T713" s="4"/>
      <c r="X713" s="4"/>
      <c r="AC713" s="4"/>
    </row>
    <row r="714" ht="15.75" customHeight="1">
      <c r="T714" s="4"/>
      <c r="X714" s="4"/>
      <c r="AC714" s="4"/>
    </row>
    <row r="715" ht="15.75" customHeight="1">
      <c r="T715" s="4"/>
      <c r="X715" s="4"/>
      <c r="AC715" s="4"/>
    </row>
    <row r="716" ht="15.75" customHeight="1">
      <c r="T716" s="4"/>
      <c r="X716" s="4"/>
      <c r="AC716" s="4"/>
    </row>
    <row r="717" ht="15.75" customHeight="1">
      <c r="T717" s="4"/>
      <c r="X717" s="4"/>
      <c r="AC717" s="4"/>
    </row>
    <row r="718" ht="15.75" customHeight="1">
      <c r="T718" s="4"/>
      <c r="X718" s="4"/>
      <c r="AC718" s="4"/>
    </row>
    <row r="719" ht="15.75" customHeight="1">
      <c r="T719" s="4"/>
      <c r="X719" s="4"/>
      <c r="AC719" s="4"/>
    </row>
    <row r="720" ht="15.75" customHeight="1">
      <c r="T720" s="4"/>
      <c r="X720" s="4"/>
      <c r="AC720" s="4"/>
    </row>
    <row r="721" ht="15.75" customHeight="1">
      <c r="T721" s="4"/>
      <c r="X721" s="4"/>
      <c r="AC721" s="4"/>
    </row>
    <row r="722" ht="15.75" customHeight="1">
      <c r="T722" s="4"/>
      <c r="X722" s="4"/>
      <c r="AC722" s="4"/>
    </row>
    <row r="723" ht="15.75" customHeight="1">
      <c r="T723" s="4"/>
      <c r="X723" s="4"/>
      <c r="AC723" s="4"/>
    </row>
    <row r="724" ht="15.75" customHeight="1">
      <c r="T724" s="4"/>
      <c r="X724" s="4"/>
      <c r="AC724" s="4"/>
    </row>
    <row r="725" ht="15.75" customHeight="1">
      <c r="T725" s="4"/>
      <c r="X725" s="4"/>
      <c r="AC725" s="4"/>
    </row>
    <row r="726" ht="15.75" customHeight="1">
      <c r="T726" s="4"/>
      <c r="X726" s="4"/>
      <c r="AC726" s="4"/>
    </row>
    <row r="727" ht="15.75" customHeight="1">
      <c r="T727" s="4"/>
      <c r="X727" s="4"/>
      <c r="AC727" s="4"/>
    </row>
    <row r="728" ht="15.75" customHeight="1">
      <c r="T728" s="4"/>
      <c r="X728" s="4"/>
      <c r="AC728" s="4"/>
    </row>
    <row r="729" ht="15.75" customHeight="1">
      <c r="T729" s="4"/>
      <c r="X729" s="4"/>
      <c r="AC729" s="4"/>
    </row>
    <row r="730" ht="15.75" customHeight="1">
      <c r="T730" s="4"/>
      <c r="X730" s="4"/>
      <c r="AC730" s="4"/>
    </row>
    <row r="731" ht="15.75" customHeight="1">
      <c r="T731" s="4"/>
      <c r="X731" s="4"/>
      <c r="AC731" s="4"/>
    </row>
    <row r="732" ht="15.75" customHeight="1">
      <c r="T732" s="4"/>
      <c r="X732" s="4"/>
      <c r="AC732" s="4"/>
    </row>
    <row r="733" ht="15.75" customHeight="1">
      <c r="T733" s="4"/>
      <c r="X733" s="4"/>
      <c r="AC733" s="4"/>
    </row>
    <row r="734" ht="15.75" customHeight="1">
      <c r="T734" s="4"/>
      <c r="X734" s="4"/>
      <c r="AC734" s="4"/>
    </row>
    <row r="735" ht="15.75" customHeight="1">
      <c r="T735" s="4"/>
      <c r="X735" s="4"/>
      <c r="AC735" s="4"/>
    </row>
    <row r="736" ht="15.75" customHeight="1">
      <c r="T736" s="4"/>
      <c r="X736" s="4"/>
      <c r="AC736" s="4"/>
    </row>
    <row r="737" ht="15.75" customHeight="1">
      <c r="T737" s="4"/>
      <c r="X737" s="4"/>
      <c r="AC737" s="4"/>
    </row>
    <row r="738" ht="15.75" customHeight="1">
      <c r="T738" s="4"/>
      <c r="X738" s="4"/>
      <c r="AC738" s="4"/>
    </row>
    <row r="739" ht="15.75" customHeight="1">
      <c r="T739" s="4"/>
      <c r="X739" s="4"/>
      <c r="AC739" s="4"/>
    </row>
    <row r="740" ht="15.75" customHeight="1">
      <c r="T740" s="4"/>
      <c r="X740" s="4"/>
      <c r="AC740" s="4"/>
    </row>
    <row r="741" ht="15.75" customHeight="1">
      <c r="T741" s="4"/>
      <c r="X741" s="4"/>
      <c r="AC741" s="4"/>
    </row>
    <row r="742" ht="15.75" customHeight="1">
      <c r="T742" s="4"/>
      <c r="X742" s="4"/>
      <c r="AC742" s="4"/>
    </row>
    <row r="743" ht="15.75" customHeight="1">
      <c r="T743" s="4"/>
      <c r="X743" s="4"/>
      <c r="AC743" s="4"/>
    </row>
    <row r="744" ht="15.75" customHeight="1">
      <c r="T744" s="4"/>
      <c r="X744" s="4"/>
      <c r="AC744" s="4"/>
    </row>
    <row r="745" ht="15.75" customHeight="1">
      <c r="T745" s="4"/>
      <c r="X745" s="4"/>
      <c r="AC745" s="4"/>
    </row>
    <row r="746" ht="15.75" customHeight="1">
      <c r="T746" s="4"/>
      <c r="X746" s="4"/>
      <c r="AC746" s="4"/>
    </row>
    <row r="747" ht="15.75" customHeight="1">
      <c r="T747" s="4"/>
      <c r="X747" s="4"/>
      <c r="AC747" s="4"/>
    </row>
    <row r="748" ht="15.75" customHeight="1">
      <c r="T748" s="4"/>
      <c r="X748" s="4"/>
      <c r="AC748" s="4"/>
    </row>
    <row r="749" ht="15.75" customHeight="1">
      <c r="T749" s="4"/>
      <c r="X749" s="4"/>
      <c r="AC749" s="4"/>
    </row>
    <row r="750" ht="15.75" customHeight="1">
      <c r="T750" s="4"/>
      <c r="X750" s="4"/>
      <c r="AC750" s="4"/>
    </row>
    <row r="751" ht="15.75" customHeight="1">
      <c r="T751" s="4"/>
      <c r="X751" s="4"/>
      <c r="AC751" s="4"/>
    </row>
    <row r="752" ht="15.75" customHeight="1">
      <c r="T752" s="4"/>
      <c r="X752" s="4"/>
      <c r="AC752" s="4"/>
    </row>
    <row r="753" ht="15.75" customHeight="1">
      <c r="T753" s="4"/>
      <c r="X753" s="4"/>
      <c r="AC753" s="4"/>
    </row>
    <row r="754" ht="15.75" customHeight="1">
      <c r="T754" s="4"/>
      <c r="X754" s="4"/>
      <c r="AC754" s="4"/>
    </row>
    <row r="755" ht="15.75" customHeight="1">
      <c r="T755" s="4"/>
      <c r="X755" s="4"/>
      <c r="AC755" s="4"/>
    </row>
    <row r="756" ht="15.75" customHeight="1">
      <c r="T756" s="4"/>
      <c r="X756" s="4"/>
      <c r="AC756" s="4"/>
    </row>
    <row r="757" ht="15.75" customHeight="1">
      <c r="T757" s="4"/>
      <c r="X757" s="4"/>
      <c r="AC757" s="4"/>
    </row>
    <row r="758" ht="15.75" customHeight="1">
      <c r="T758" s="4"/>
      <c r="X758" s="4"/>
      <c r="AC758" s="4"/>
    </row>
    <row r="759" ht="15.75" customHeight="1">
      <c r="T759" s="4"/>
      <c r="X759" s="4"/>
      <c r="AC759" s="4"/>
    </row>
    <row r="760" ht="15.75" customHeight="1">
      <c r="T760" s="4"/>
      <c r="X760" s="4"/>
      <c r="AC760" s="4"/>
    </row>
    <row r="761" ht="15.75" customHeight="1">
      <c r="T761" s="4"/>
      <c r="X761" s="4"/>
      <c r="AC761" s="4"/>
    </row>
    <row r="762" ht="15.75" customHeight="1">
      <c r="T762" s="4"/>
      <c r="X762" s="4"/>
      <c r="AC762" s="4"/>
    </row>
    <row r="763" ht="15.75" customHeight="1">
      <c r="T763" s="4"/>
      <c r="X763" s="4"/>
      <c r="AC763" s="4"/>
    </row>
    <row r="764" ht="15.75" customHeight="1">
      <c r="T764" s="4"/>
      <c r="X764" s="4"/>
      <c r="AC764" s="4"/>
    </row>
    <row r="765" ht="15.75" customHeight="1">
      <c r="T765" s="4"/>
      <c r="X765" s="4"/>
      <c r="AC765" s="4"/>
    </row>
    <row r="766" ht="15.75" customHeight="1">
      <c r="T766" s="4"/>
      <c r="X766" s="4"/>
      <c r="AC766" s="4"/>
    </row>
    <row r="767" ht="15.75" customHeight="1">
      <c r="T767" s="4"/>
      <c r="X767" s="4"/>
      <c r="AC767" s="4"/>
    </row>
    <row r="768" ht="15.75" customHeight="1">
      <c r="T768" s="4"/>
      <c r="X768" s="4"/>
      <c r="AC768" s="4"/>
    </row>
    <row r="769" ht="15.75" customHeight="1">
      <c r="T769" s="4"/>
      <c r="X769" s="4"/>
      <c r="AC769" s="4"/>
    </row>
    <row r="770" ht="15.75" customHeight="1">
      <c r="T770" s="4"/>
      <c r="X770" s="4"/>
      <c r="AC770" s="4"/>
    </row>
    <row r="771" ht="15.75" customHeight="1">
      <c r="T771" s="4"/>
      <c r="X771" s="4"/>
      <c r="AC771" s="4"/>
    </row>
    <row r="772" ht="15.75" customHeight="1">
      <c r="T772" s="4"/>
      <c r="X772" s="4"/>
      <c r="AC772" s="4"/>
    </row>
    <row r="773" ht="15.75" customHeight="1">
      <c r="T773" s="4"/>
      <c r="X773" s="4"/>
      <c r="AC773" s="4"/>
    </row>
    <row r="774" ht="15.75" customHeight="1">
      <c r="T774" s="4"/>
      <c r="X774" s="4"/>
      <c r="AC774" s="4"/>
    </row>
    <row r="775" ht="15.75" customHeight="1">
      <c r="T775" s="4"/>
      <c r="X775" s="4"/>
      <c r="AC775" s="4"/>
    </row>
    <row r="776" ht="15.75" customHeight="1">
      <c r="T776" s="4"/>
      <c r="X776" s="4"/>
      <c r="AC776" s="4"/>
    </row>
    <row r="777" ht="15.75" customHeight="1">
      <c r="T777" s="4"/>
      <c r="X777" s="4"/>
      <c r="AC777" s="4"/>
    </row>
    <row r="778" ht="15.75" customHeight="1">
      <c r="T778" s="4"/>
      <c r="X778" s="4"/>
      <c r="AC778" s="4"/>
    </row>
    <row r="779" ht="15.75" customHeight="1">
      <c r="T779" s="4"/>
      <c r="X779" s="4"/>
      <c r="AC779" s="4"/>
    </row>
    <row r="780" ht="15.75" customHeight="1">
      <c r="T780" s="4"/>
      <c r="X780" s="4"/>
      <c r="AC780" s="4"/>
    </row>
    <row r="781" ht="15.75" customHeight="1">
      <c r="T781" s="4"/>
      <c r="X781" s="4"/>
      <c r="AC781" s="4"/>
    </row>
    <row r="782" ht="15.75" customHeight="1">
      <c r="T782" s="4"/>
      <c r="X782" s="4"/>
      <c r="AC782" s="4"/>
    </row>
    <row r="783" ht="15.75" customHeight="1">
      <c r="T783" s="4"/>
      <c r="X783" s="4"/>
      <c r="AC783" s="4"/>
    </row>
    <row r="784" ht="15.75" customHeight="1">
      <c r="T784" s="4"/>
      <c r="X784" s="4"/>
      <c r="AC784" s="4"/>
    </row>
    <row r="785" ht="15.75" customHeight="1">
      <c r="T785" s="4"/>
      <c r="X785" s="4"/>
      <c r="AC785" s="4"/>
    </row>
    <row r="786" ht="15.75" customHeight="1">
      <c r="T786" s="4"/>
      <c r="X786" s="4"/>
      <c r="AC786" s="4"/>
    </row>
    <row r="787" ht="15.75" customHeight="1">
      <c r="T787" s="4"/>
      <c r="X787" s="4"/>
      <c r="AC787" s="4"/>
    </row>
    <row r="788" ht="15.75" customHeight="1">
      <c r="T788" s="4"/>
      <c r="X788" s="4"/>
      <c r="AC788" s="4"/>
    </row>
    <row r="789" ht="15.75" customHeight="1">
      <c r="T789" s="4"/>
      <c r="X789" s="4"/>
      <c r="AC789" s="4"/>
    </row>
    <row r="790" ht="15.75" customHeight="1">
      <c r="T790" s="4"/>
      <c r="X790" s="4"/>
      <c r="AC790" s="4"/>
    </row>
    <row r="791" ht="15.75" customHeight="1">
      <c r="T791" s="4"/>
      <c r="X791" s="4"/>
      <c r="AC791" s="4"/>
    </row>
    <row r="792" ht="15.75" customHeight="1">
      <c r="T792" s="4"/>
      <c r="X792" s="4"/>
      <c r="AC792" s="4"/>
    </row>
    <row r="793" ht="15.75" customHeight="1">
      <c r="T793" s="4"/>
      <c r="X793" s="4"/>
      <c r="AC793" s="4"/>
    </row>
    <row r="794" ht="15.75" customHeight="1">
      <c r="T794" s="4"/>
      <c r="X794" s="4"/>
      <c r="AC794" s="4"/>
    </row>
    <row r="795" ht="15.75" customHeight="1">
      <c r="T795" s="4"/>
      <c r="X795" s="4"/>
      <c r="AC795" s="4"/>
    </row>
    <row r="796" ht="15.75" customHeight="1">
      <c r="T796" s="4"/>
      <c r="X796" s="4"/>
      <c r="AC796" s="4"/>
    </row>
    <row r="797" ht="15.75" customHeight="1">
      <c r="T797" s="4"/>
      <c r="X797" s="4"/>
      <c r="AC797" s="4"/>
    </row>
    <row r="798" ht="15.75" customHeight="1">
      <c r="T798" s="4"/>
      <c r="X798" s="4"/>
      <c r="AC798" s="4"/>
    </row>
    <row r="799" ht="15.75" customHeight="1">
      <c r="T799" s="4"/>
      <c r="X799" s="4"/>
      <c r="AC799" s="4"/>
    </row>
    <row r="800" ht="15.75" customHeight="1">
      <c r="T800" s="4"/>
      <c r="X800" s="4"/>
      <c r="AC800" s="4"/>
    </row>
    <row r="801" ht="15.75" customHeight="1">
      <c r="T801" s="4"/>
      <c r="X801" s="4"/>
      <c r="AC801" s="4"/>
    </row>
    <row r="802" ht="15.75" customHeight="1">
      <c r="T802" s="4"/>
      <c r="X802" s="4"/>
      <c r="AC802" s="4"/>
    </row>
    <row r="803" ht="15.75" customHeight="1">
      <c r="T803" s="4"/>
      <c r="X803" s="4"/>
      <c r="AC803" s="4"/>
    </row>
    <row r="804" ht="15.75" customHeight="1">
      <c r="T804" s="4"/>
      <c r="X804" s="4"/>
      <c r="AC804" s="4"/>
    </row>
    <row r="805" ht="15.75" customHeight="1">
      <c r="T805" s="4"/>
      <c r="X805" s="4"/>
      <c r="AC805" s="4"/>
    </row>
    <row r="806" ht="15.75" customHeight="1">
      <c r="T806" s="4"/>
      <c r="X806" s="4"/>
      <c r="AC806" s="4"/>
    </row>
    <row r="807" ht="15.75" customHeight="1">
      <c r="T807" s="4"/>
      <c r="X807" s="4"/>
      <c r="AC807" s="4"/>
    </row>
    <row r="808" ht="15.75" customHeight="1">
      <c r="T808" s="4"/>
      <c r="X808" s="4"/>
      <c r="AC808" s="4"/>
    </row>
    <row r="809" ht="15.75" customHeight="1">
      <c r="T809" s="4"/>
      <c r="X809" s="4"/>
      <c r="AC809" s="4"/>
    </row>
    <row r="810" ht="15.75" customHeight="1">
      <c r="T810" s="4"/>
      <c r="X810" s="4"/>
      <c r="AC810" s="4"/>
    </row>
    <row r="811" ht="15.75" customHeight="1">
      <c r="T811" s="4"/>
      <c r="X811" s="4"/>
      <c r="AC811" s="4"/>
    </row>
    <row r="812" ht="15.75" customHeight="1">
      <c r="T812" s="4"/>
      <c r="X812" s="4"/>
      <c r="AC812" s="4"/>
    </row>
    <row r="813" ht="15.75" customHeight="1">
      <c r="T813" s="4"/>
      <c r="X813" s="4"/>
      <c r="AC813" s="4"/>
    </row>
    <row r="814" ht="15.75" customHeight="1">
      <c r="T814" s="4"/>
      <c r="X814" s="4"/>
      <c r="AC814" s="4"/>
    </row>
    <row r="815" ht="15.75" customHeight="1">
      <c r="T815" s="4"/>
      <c r="X815" s="4"/>
      <c r="AC815" s="4"/>
    </row>
    <row r="816" ht="15.75" customHeight="1">
      <c r="T816" s="4"/>
      <c r="X816" s="4"/>
      <c r="AC816" s="4"/>
    </row>
    <row r="817" ht="15.75" customHeight="1">
      <c r="T817" s="4"/>
      <c r="X817" s="4"/>
      <c r="AC817" s="4"/>
    </row>
    <row r="818" ht="15.75" customHeight="1">
      <c r="T818" s="4"/>
      <c r="X818" s="4"/>
      <c r="AC818" s="4"/>
    </row>
    <row r="819" ht="15.75" customHeight="1">
      <c r="T819" s="4"/>
      <c r="X819" s="4"/>
      <c r="AC819" s="4"/>
    </row>
    <row r="820" ht="15.75" customHeight="1">
      <c r="T820" s="4"/>
      <c r="X820" s="4"/>
      <c r="AC820" s="4"/>
    </row>
    <row r="821" ht="15.75" customHeight="1">
      <c r="T821" s="4"/>
      <c r="X821" s="4"/>
      <c r="AC821" s="4"/>
    </row>
    <row r="822" ht="15.75" customHeight="1">
      <c r="T822" s="4"/>
      <c r="X822" s="4"/>
      <c r="AC822" s="4"/>
    </row>
    <row r="823" ht="15.75" customHeight="1">
      <c r="T823" s="4"/>
      <c r="X823" s="4"/>
      <c r="AC823" s="4"/>
    </row>
    <row r="824" ht="15.75" customHeight="1">
      <c r="T824" s="4"/>
      <c r="X824" s="4"/>
      <c r="AC824" s="4"/>
    </row>
    <row r="825" ht="15.75" customHeight="1">
      <c r="T825" s="4"/>
      <c r="X825" s="4"/>
      <c r="AC825" s="4"/>
    </row>
    <row r="826" ht="15.75" customHeight="1">
      <c r="T826" s="4"/>
      <c r="X826" s="4"/>
      <c r="AC826" s="4"/>
    </row>
    <row r="827" ht="15.75" customHeight="1">
      <c r="T827" s="4"/>
      <c r="X827" s="4"/>
      <c r="AC827" s="4"/>
    </row>
    <row r="828" ht="15.75" customHeight="1">
      <c r="T828" s="4"/>
      <c r="X828" s="4"/>
      <c r="AC828" s="4"/>
    </row>
    <row r="829" ht="15.75" customHeight="1">
      <c r="T829" s="4"/>
      <c r="X829" s="4"/>
      <c r="AC829" s="4"/>
    </row>
    <row r="830" ht="15.75" customHeight="1">
      <c r="T830" s="4"/>
      <c r="X830" s="4"/>
      <c r="AC830" s="4"/>
    </row>
    <row r="831" ht="15.75" customHeight="1">
      <c r="T831" s="4"/>
      <c r="X831" s="4"/>
      <c r="AC831" s="4"/>
    </row>
    <row r="832" ht="15.75" customHeight="1">
      <c r="T832" s="4"/>
      <c r="X832" s="4"/>
      <c r="AC832" s="4"/>
    </row>
    <row r="833" ht="15.75" customHeight="1">
      <c r="T833" s="4"/>
      <c r="X833" s="4"/>
      <c r="AC833" s="4"/>
    </row>
    <row r="834" ht="15.75" customHeight="1">
      <c r="T834" s="4"/>
      <c r="X834" s="4"/>
      <c r="AC834" s="4"/>
    </row>
    <row r="835" ht="15.75" customHeight="1">
      <c r="T835" s="4"/>
      <c r="X835" s="4"/>
      <c r="AC835" s="4"/>
    </row>
    <row r="836" ht="15.75" customHeight="1">
      <c r="T836" s="4"/>
      <c r="X836" s="4"/>
      <c r="AC836" s="4"/>
    </row>
    <row r="837" ht="15.75" customHeight="1">
      <c r="T837" s="4"/>
      <c r="X837" s="4"/>
      <c r="AC837" s="4"/>
    </row>
    <row r="838" ht="15.75" customHeight="1">
      <c r="T838" s="4"/>
      <c r="X838" s="4"/>
      <c r="AC838" s="4"/>
    </row>
    <row r="839" ht="15.75" customHeight="1">
      <c r="T839" s="4"/>
      <c r="X839" s="4"/>
      <c r="AC839" s="4"/>
    </row>
    <row r="840" ht="15.75" customHeight="1">
      <c r="T840" s="4"/>
      <c r="X840" s="4"/>
      <c r="AC840" s="4"/>
    </row>
    <row r="841" ht="15.75" customHeight="1">
      <c r="T841" s="4"/>
      <c r="X841" s="4"/>
      <c r="AC841" s="4"/>
    </row>
    <row r="842" ht="15.75" customHeight="1">
      <c r="T842" s="4"/>
      <c r="X842" s="4"/>
      <c r="AC842" s="4"/>
    </row>
    <row r="843" ht="15.75" customHeight="1">
      <c r="T843" s="4"/>
      <c r="X843" s="4"/>
      <c r="AC843" s="4"/>
    </row>
    <row r="844" ht="15.75" customHeight="1">
      <c r="T844" s="4"/>
      <c r="X844" s="4"/>
      <c r="AC844" s="4"/>
    </row>
    <row r="845" ht="15.75" customHeight="1">
      <c r="T845" s="4"/>
      <c r="X845" s="4"/>
      <c r="AC845" s="4"/>
    </row>
    <row r="846" ht="15.75" customHeight="1">
      <c r="T846" s="4"/>
      <c r="X846" s="4"/>
      <c r="AC846" s="4"/>
    </row>
    <row r="847" ht="15.75" customHeight="1">
      <c r="T847" s="4"/>
      <c r="X847" s="4"/>
      <c r="AC847" s="4"/>
    </row>
    <row r="848" ht="15.75" customHeight="1">
      <c r="T848" s="4"/>
      <c r="X848" s="4"/>
      <c r="AC848" s="4"/>
    </row>
    <row r="849" ht="15.75" customHeight="1">
      <c r="T849" s="4"/>
      <c r="X849" s="4"/>
      <c r="AC849" s="4"/>
    </row>
    <row r="850" ht="15.75" customHeight="1">
      <c r="T850" s="4"/>
      <c r="X850" s="4"/>
      <c r="AC850" s="4"/>
    </row>
    <row r="851" ht="15.75" customHeight="1">
      <c r="T851" s="4"/>
      <c r="X851" s="4"/>
      <c r="AC851" s="4"/>
    </row>
    <row r="852" ht="15.75" customHeight="1">
      <c r="T852" s="4"/>
      <c r="X852" s="4"/>
      <c r="AC852" s="4"/>
    </row>
    <row r="853" ht="15.75" customHeight="1">
      <c r="T853" s="4"/>
      <c r="X853" s="4"/>
      <c r="AC853" s="4"/>
    </row>
    <row r="854" ht="15.75" customHeight="1">
      <c r="T854" s="4"/>
      <c r="X854" s="4"/>
      <c r="AC854" s="4"/>
    </row>
    <row r="855" ht="15.75" customHeight="1">
      <c r="T855" s="4"/>
      <c r="X855" s="4"/>
      <c r="AC855" s="4"/>
    </row>
    <row r="856" ht="15.75" customHeight="1">
      <c r="T856" s="4"/>
      <c r="X856" s="4"/>
      <c r="AC856" s="4"/>
    </row>
    <row r="857" ht="15.75" customHeight="1">
      <c r="T857" s="4"/>
      <c r="X857" s="4"/>
      <c r="AC857" s="4"/>
    </row>
    <row r="858" ht="15.75" customHeight="1">
      <c r="T858" s="4"/>
      <c r="X858" s="4"/>
      <c r="AC858" s="4"/>
    </row>
    <row r="859" ht="15.75" customHeight="1">
      <c r="T859" s="4"/>
      <c r="X859" s="4"/>
      <c r="AC859" s="4"/>
    </row>
    <row r="860" ht="15.75" customHeight="1">
      <c r="T860" s="4"/>
      <c r="X860" s="4"/>
      <c r="AC860" s="4"/>
    </row>
    <row r="861" ht="15.75" customHeight="1">
      <c r="T861" s="4"/>
      <c r="X861" s="4"/>
      <c r="AC861" s="4"/>
    </row>
    <row r="862" ht="15.75" customHeight="1">
      <c r="T862" s="4"/>
      <c r="X862" s="4"/>
      <c r="AC862" s="4"/>
    </row>
    <row r="863" ht="15.75" customHeight="1">
      <c r="T863" s="4"/>
      <c r="X863" s="4"/>
      <c r="AC863" s="4"/>
    </row>
    <row r="864" ht="15.75" customHeight="1">
      <c r="T864" s="4"/>
      <c r="X864" s="4"/>
      <c r="AC864" s="4"/>
    </row>
    <row r="865" ht="15.75" customHeight="1">
      <c r="T865" s="4"/>
      <c r="X865" s="4"/>
      <c r="AC865" s="4"/>
    </row>
    <row r="866" ht="15.75" customHeight="1">
      <c r="T866" s="4"/>
      <c r="X866" s="4"/>
      <c r="AC866" s="4"/>
    </row>
    <row r="867" ht="15.75" customHeight="1">
      <c r="T867" s="4"/>
      <c r="X867" s="4"/>
      <c r="AC867" s="4"/>
    </row>
    <row r="868" ht="15.75" customHeight="1">
      <c r="T868" s="4"/>
      <c r="X868" s="4"/>
      <c r="AC868" s="4"/>
    </row>
    <row r="869" ht="15.75" customHeight="1">
      <c r="T869" s="4"/>
      <c r="X869" s="4"/>
      <c r="AC869" s="4"/>
    </row>
    <row r="870" ht="15.75" customHeight="1">
      <c r="T870" s="4"/>
      <c r="X870" s="4"/>
      <c r="AC870" s="4"/>
    </row>
    <row r="871" ht="15.75" customHeight="1">
      <c r="T871" s="4"/>
      <c r="X871" s="4"/>
      <c r="AC871" s="4"/>
    </row>
    <row r="872" ht="15.75" customHeight="1">
      <c r="T872" s="4"/>
      <c r="X872" s="4"/>
      <c r="AC872" s="4"/>
    </row>
    <row r="873" ht="15.75" customHeight="1">
      <c r="T873" s="4"/>
      <c r="X873" s="4"/>
      <c r="AC873" s="4"/>
    </row>
    <row r="874" ht="15.75" customHeight="1">
      <c r="T874" s="4"/>
      <c r="X874" s="4"/>
      <c r="AC874" s="4"/>
    </row>
    <row r="875" ht="15.75" customHeight="1">
      <c r="T875" s="4"/>
      <c r="X875" s="4"/>
      <c r="AC875" s="4"/>
    </row>
    <row r="876" ht="15.75" customHeight="1">
      <c r="T876" s="4"/>
      <c r="X876" s="4"/>
      <c r="AC876" s="4"/>
    </row>
    <row r="877" ht="15.75" customHeight="1">
      <c r="T877" s="4"/>
      <c r="X877" s="4"/>
      <c r="AC877" s="4"/>
    </row>
    <row r="878" ht="15.75" customHeight="1">
      <c r="T878" s="4"/>
      <c r="X878" s="4"/>
      <c r="AC878" s="4"/>
    </row>
    <row r="879" ht="15.75" customHeight="1">
      <c r="T879" s="4"/>
      <c r="X879" s="4"/>
      <c r="AC879" s="4"/>
    </row>
    <row r="880" ht="15.75" customHeight="1">
      <c r="T880" s="4"/>
      <c r="X880" s="4"/>
      <c r="AC880" s="4"/>
    </row>
    <row r="881" ht="15.75" customHeight="1">
      <c r="T881" s="4"/>
      <c r="X881" s="4"/>
      <c r="AC881" s="4"/>
    </row>
    <row r="882" ht="15.75" customHeight="1">
      <c r="T882" s="4"/>
      <c r="X882" s="4"/>
      <c r="AC882" s="4"/>
    </row>
    <row r="883" ht="15.75" customHeight="1">
      <c r="T883" s="4"/>
      <c r="X883" s="4"/>
      <c r="AC883" s="4"/>
    </row>
    <row r="884" ht="15.75" customHeight="1">
      <c r="T884" s="4"/>
      <c r="X884" s="4"/>
      <c r="AC884" s="4"/>
    </row>
    <row r="885" ht="15.75" customHeight="1">
      <c r="T885" s="4"/>
      <c r="X885" s="4"/>
      <c r="AC885" s="4"/>
    </row>
    <row r="886" ht="15.75" customHeight="1">
      <c r="T886" s="4"/>
      <c r="X886" s="4"/>
      <c r="AC886" s="4"/>
    </row>
    <row r="887" ht="15.75" customHeight="1">
      <c r="T887" s="4"/>
      <c r="X887" s="4"/>
      <c r="AC887" s="4"/>
    </row>
    <row r="888" ht="15.75" customHeight="1">
      <c r="T888" s="4"/>
      <c r="X888" s="4"/>
      <c r="AC888" s="4"/>
    </row>
    <row r="889" ht="15.75" customHeight="1">
      <c r="T889" s="4"/>
      <c r="X889" s="4"/>
      <c r="AC889" s="4"/>
    </row>
    <row r="890" ht="15.75" customHeight="1">
      <c r="T890" s="4"/>
      <c r="X890" s="4"/>
      <c r="AC890" s="4"/>
    </row>
    <row r="891" ht="15.75" customHeight="1">
      <c r="T891" s="4"/>
      <c r="X891" s="4"/>
      <c r="AC891" s="4"/>
    </row>
    <row r="892" ht="15.75" customHeight="1">
      <c r="T892" s="4"/>
      <c r="X892" s="4"/>
      <c r="AC892" s="4"/>
    </row>
    <row r="893" ht="15.75" customHeight="1">
      <c r="T893" s="4"/>
      <c r="X893" s="4"/>
      <c r="AC893" s="4"/>
    </row>
    <row r="894" ht="15.75" customHeight="1">
      <c r="T894" s="4"/>
      <c r="X894" s="4"/>
      <c r="AC894" s="4"/>
    </row>
    <row r="895" ht="15.75" customHeight="1">
      <c r="T895" s="4"/>
      <c r="X895" s="4"/>
      <c r="AC895" s="4"/>
    </row>
    <row r="896" ht="15.75" customHeight="1">
      <c r="T896" s="4"/>
      <c r="X896" s="4"/>
      <c r="AC896" s="4"/>
    </row>
    <row r="897" ht="15.75" customHeight="1">
      <c r="T897" s="4"/>
      <c r="X897" s="4"/>
      <c r="AC897" s="4"/>
    </row>
    <row r="898" ht="15.75" customHeight="1">
      <c r="T898" s="4"/>
      <c r="X898" s="4"/>
      <c r="AC898" s="4"/>
    </row>
    <row r="899" ht="15.75" customHeight="1">
      <c r="T899" s="4"/>
      <c r="X899" s="4"/>
      <c r="AC899" s="4"/>
    </row>
    <row r="900" ht="15.75" customHeight="1">
      <c r="T900" s="4"/>
      <c r="X900" s="4"/>
      <c r="AC900" s="4"/>
    </row>
    <row r="901" ht="15.75" customHeight="1">
      <c r="T901" s="4"/>
      <c r="X901" s="4"/>
      <c r="AC901" s="4"/>
    </row>
    <row r="902" ht="15.75" customHeight="1">
      <c r="T902" s="4"/>
      <c r="X902" s="4"/>
      <c r="AC902" s="4"/>
    </row>
    <row r="903" ht="15.75" customHeight="1">
      <c r="T903" s="4"/>
      <c r="X903" s="4"/>
      <c r="AC903" s="4"/>
    </row>
    <row r="904" ht="15.75" customHeight="1">
      <c r="T904" s="4"/>
      <c r="X904" s="4"/>
      <c r="AC904" s="4"/>
    </row>
    <row r="905" ht="15.75" customHeight="1">
      <c r="T905" s="4"/>
      <c r="X905" s="4"/>
      <c r="AC905" s="4"/>
    </row>
    <row r="906" ht="15.75" customHeight="1">
      <c r="T906" s="4"/>
      <c r="X906" s="4"/>
      <c r="AC906" s="4"/>
    </row>
    <row r="907" ht="15.75" customHeight="1">
      <c r="T907" s="4"/>
      <c r="X907" s="4"/>
      <c r="AC907" s="4"/>
    </row>
    <row r="908" ht="15.75" customHeight="1">
      <c r="T908" s="4"/>
      <c r="X908" s="4"/>
      <c r="AC908" s="4"/>
    </row>
    <row r="909" ht="15.75" customHeight="1">
      <c r="T909" s="4"/>
      <c r="X909" s="4"/>
      <c r="AC909" s="4"/>
    </row>
    <row r="910" ht="15.75" customHeight="1">
      <c r="T910" s="4"/>
      <c r="X910" s="4"/>
      <c r="AC910" s="4"/>
    </row>
    <row r="911" ht="15.75" customHeight="1">
      <c r="T911" s="4"/>
      <c r="X911" s="4"/>
      <c r="AC911" s="4"/>
    </row>
    <row r="912" ht="15.75" customHeight="1">
      <c r="T912" s="4"/>
      <c r="X912" s="4"/>
      <c r="AC912" s="4"/>
    </row>
    <row r="913" ht="15.75" customHeight="1">
      <c r="T913" s="4"/>
      <c r="X913" s="4"/>
      <c r="AC913" s="4"/>
    </row>
    <row r="914" ht="15.75" customHeight="1">
      <c r="T914" s="4"/>
      <c r="X914" s="4"/>
      <c r="AC914" s="4"/>
    </row>
    <row r="915" ht="15.75" customHeight="1">
      <c r="T915" s="4"/>
      <c r="X915" s="4"/>
      <c r="AC915" s="4"/>
    </row>
    <row r="916" ht="15.75" customHeight="1">
      <c r="T916" s="4"/>
      <c r="X916" s="4"/>
      <c r="AC916" s="4"/>
    </row>
    <row r="917" ht="15.75" customHeight="1">
      <c r="T917" s="4"/>
      <c r="X917" s="4"/>
      <c r="AC917" s="4"/>
    </row>
    <row r="918" ht="15.75" customHeight="1">
      <c r="T918" s="4"/>
      <c r="X918" s="4"/>
      <c r="AC918" s="4"/>
    </row>
    <row r="919" ht="15.75" customHeight="1">
      <c r="T919" s="4"/>
      <c r="X919" s="4"/>
      <c r="AC919" s="4"/>
    </row>
    <row r="920" ht="15.75" customHeight="1">
      <c r="T920" s="4"/>
      <c r="X920" s="4"/>
      <c r="AC920" s="4"/>
    </row>
    <row r="921" ht="15.75" customHeight="1">
      <c r="T921" s="4"/>
      <c r="X921" s="4"/>
      <c r="AC921" s="4"/>
    </row>
    <row r="922" ht="15.75" customHeight="1">
      <c r="T922" s="4"/>
      <c r="X922" s="4"/>
      <c r="AC922" s="4"/>
    </row>
    <row r="923" ht="15.75" customHeight="1">
      <c r="T923" s="4"/>
      <c r="X923" s="4"/>
      <c r="AC923" s="4"/>
    </row>
    <row r="924" ht="15.75" customHeight="1">
      <c r="T924" s="4"/>
      <c r="X924" s="4"/>
      <c r="AC924" s="4"/>
    </row>
    <row r="925" ht="15.75" customHeight="1">
      <c r="T925" s="4"/>
      <c r="X925" s="4"/>
      <c r="AC925" s="4"/>
    </row>
    <row r="926" ht="15.75" customHeight="1">
      <c r="T926" s="4"/>
      <c r="X926" s="4"/>
      <c r="AC926" s="4"/>
    </row>
    <row r="927" ht="15.75" customHeight="1">
      <c r="T927" s="4"/>
      <c r="X927" s="4"/>
      <c r="AC927" s="4"/>
    </row>
    <row r="928" ht="15.75" customHeight="1">
      <c r="T928" s="4"/>
      <c r="X928" s="4"/>
      <c r="AC928" s="4"/>
    </row>
    <row r="929" ht="15.75" customHeight="1">
      <c r="T929" s="4"/>
      <c r="X929" s="4"/>
      <c r="AC929" s="4"/>
    </row>
    <row r="930" ht="15.75" customHeight="1">
      <c r="T930" s="4"/>
      <c r="X930" s="4"/>
      <c r="AC930" s="4"/>
    </row>
    <row r="931" ht="15.75" customHeight="1">
      <c r="T931" s="4"/>
      <c r="X931" s="4"/>
      <c r="AC931" s="4"/>
    </row>
    <row r="932" ht="15.75" customHeight="1">
      <c r="T932" s="4"/>
      <c r="X932" s="4"/>
      <c r="AC932" s="4"/>
    </row>
    <row r="933" ht="15.75" customHeight="1">
      <c r="T933" s="4"/>
      <c r="X933" s="4"/>
      <c r="AC933" s="4"/>
    </row>
    <row r="934" ht="15.75" customHeight="1">
      <c r="T934" s="4"/>
      <c r="X934" s="4"/>
      <c r="AC934" s="4"/>
    </row>
    <row r="935" ht="15.75" customHeight="1">
      <c r="T935" s="4"/>
      <c r="X935" s="4"/>
      <c r="AC935" s="4"/>
    </row>
    <row r="936" ht="15.75" customHeight="1">
      <c r="T936" s="4"/>
      <c r="X936" s="4"/>
      <c r="AC936" s="4"/>
    </row>
    <row r="937" ht="15.75" customHeight="1">
      <c r="T937" s="4"/>
      <c r="X937" s="4"/>
      <c r="AC937" s="4"/>
    </row>
    <row r="938" ht="15.75" customHeight="1">
      <c r="T938" s="4"/>
      <c r="X938" s="4"/>
      <c r="AC938" s="4"/>
    </row>
    <row r="939" ht="15.75" customHeight="1">
      <c r="T939" s="4"/>
      <c r="X939" s="4"/>
      <c r="AC939" s="4"/>
    </row>
    <row r="940" ht="15.75" customHeight="1">
      <c r="T940" s="4"/>
      <c r="X940" s="4"/>
      <c r="AC940" s="4"/>
    </row>
    <row r="941" ht="15.75" customHeight="1">
      <c r="T941" s="4"/>
      <c r="X941" s="4"/>
      <c r="AC941" s="4"/>
    </row>
    <row r="942" ht="15.75" customHeight="1">
      <c r="T942" s="4"/>
      <c r="X942" s="4"/>
      <c r="AC942" s="4"/>
    </row>
    <row r="943" ht="15.75" customHeight="1">
      <c r="T943" s="4"/>
      <c r="X943" s="4"/>
      <c r="AC943" s="4"/>
    </row>
    <row r="944" ht="15.75" customHeight="1">
      <c r="T944" s="4"/>
      <c r="X944" s="4"/>
      <c r="AC944" s="4"/>
    </row>
    <row r="945" ht="15.75" customHeight="1">
      <c r="T945" s="4"/>
      <c r="X945" s="4"/>
      <c r="AC945" s="4"/>
    </row>
    <row r="946" ht="15.75" customHeight="1">
      <c r="T946" s="4"/>
      <c r="X946" s="4"/>
      <c r="AC946" s="4"/>
    </row>
    <row r="947" ht="15.75" customHeight="1">
      <c r="T947" s="4"/>
      <c r="X947" s="4"/>
      <c r="AC947" s="4"/>
    </row>
    <row r="948" ht="15.75" customHeight="1">
      <c r="T948" s="4"/>
      <c r="X948" s="4"/>
      <c r="AC948" s="4"/>
    </row>
    <row r="949" ht="15.75" customHeight="1">
      <c r="T949" s="4"/>
      <c r="X949" s="4"/>
      <c r="AC949" s="4"/>
    </row>
    <row r="950" ht="15.75" customHeight="1">
      <c r="T950" s="4"/>
      <c r="X950" s="4"/>
      <c r="AC950" s="4"/>
    </row>
    <row r="951" ht="15.75" customHeight="1">
      <c r="T951" s="4"/>
      <c r="X951" s="4"/>
      <c r="AC951" s="4"/>
    </row>
    <row r="952" ht="15.75" customHeight="1">
      <c r="T952" s="4"/>
      <c r="X952" s="4"/>
      <c r="AC952" s="4"/>
    </row>
    <row r="953" ht="15.75" customHeight="1">
      <c r="T953" s="4"/>
      <c r="X953" s="4"/>
      <c r="AC953" s="4"/>
    </row>
    <row r="954" ht="15.75" customHeight="1">
      <c r="T954" s="4"/>
      <c r="X954" s="4"/>
      <c r="AC954" s="4"/>
    </row>
    <row r="955" ht="15.75" customHeight="1">
      <c r="T955" s="4"/>
      <c r="X955" s="4"/>
      <c r="AC955" s="4"/>
    </row>
    <row r="956" ht="15.75" customHeight="1">
      <c r="T956" s="4"/>
      <c r="X956" s="4"/>
      <c r="AC956" s="4"/>
    </row>
    <row r="957" ht="15.75" customHeight="1">
      <c r="T957" s="4"/>
      <c r="X957" s="4"/>
      <c r="AC957" s="4"/>
    </row>
    <row r="958" ht="15.75" customHeight="1">
      <c r="T958" s="4"/>
      <c r="X958" s="4"/>
      <c r="AC958" s="4"/>
    </row>
    <row r="959" ht="15.75" customHeight="1">
      <c r="T959" s="4"/>
      <c r="X959" s="4"/>
      <c r="AC959" s="4"/>
    </row>
    <row r="960" ht="15.75" customHeight="1">
      <c r="T960" s="4"/>
      <c r="X960" s="4"/>
      <c r="AC960" s="4"/>
    </row>
    <row r="961" ht="15.75" customHeight="1">
      <c r="T961" s="4"/>
      <c r="X961" s="4"/>
      <c r="AC961" s="4"/>
    </row>
    <row r="962" ht="15.75" customHeight="1">
      <c r="T962" s="4"/>
      <c r="X962" s="4"/>
      <c r="AC962" s="4"/>
    </row>
    <row r="963" ht="15.75" customHeight="1">
      <c r="T963" s="4"/>
      <c r="X963" s="4"/>
      <c r="AC963" s="4"/>
    </row>
    <row r="964" ht="15.75" customHeight="1">
      <c r="T964" s="4"/>
      <c r="X964" s="4"/>
      <c r="AC964" s="4"/>
    </row>
    <row r="965" ht="15.75" customHeight="1">
      <c r="T965" s="4"/>
      <c r="X965" s="4"/>
      <c r="AC965" s="4"/>
    </row>
    <row r="966" ht="15.75" customHeight="1">
      <c r="T966" s="4"/>
      <c r="X966" s="4"/>
      <c r="AC966" s="4"/>
    </row>
    <row r="967" ht="15.75" customHeight="1">
      <c r="T967" s="4"/>
      <c r="X967" s="4"/>
      <c r="AC967" s="4"/>
    </row>
    <row r="968" ht="15.75" customHeight="1">
      <c r="T968" s="4"/>
      <c r="X968" s="4"/>
      <c r="AC968" s="4"/>
    </row>
    <row r="969" ht="15.75" customHeight="1">
      <c r="T969" s="4"/>
      <c r="X969" s="4"/>
      <c r="AC969" s="4"/>
    </row>
    <row r="970" ht="15.75" customHeight="1">
      <c r="T970" s="4"/>
      <c r="X970" s="4"/>
      <c r="AC970" s="4"/>
    </row>
    <row r="971" ht="15.75" customHeight="1">
      <c r="T971" s="4"/>
      <c r="X971" s="4"/>
      <c r="AC971" s="4"/>
    </row>
    <row r="972" ht="15.75" customHeight="1">
      <c r="T972" s="4"/>
      <c r="X972" s="4"/>
      <c r="AC972" s="4"/>
    </row>
    <row r="973" ht="15.75" customHeight="1">
      <c r="T973" s="4"/>
      <c r="X973" s="4"/>
      <c r="AC973" s="4"/>
    </row>
    <row r="974" ht="15.75" customHeight="1">
      <c r="T974" s="4"/>
      <c r="X974" s="4"/>
      <c r="AC974" s="4"/>
    </row>
    <row r="975" ht="15.75" customHeight="1">
      <c r="T975" s="4"/>
      <c r="X975" s="4"/>
      <c r="AC975" s="4"/>
    </row>
    <row r="976" ht="15.75" customHeight="1">
      <c r="T976" s="4"/>
      <c r="X976" s="4"/>
      <c r="AC976" s="4"/>
    </row>
    <row r="977" ht="15.75" customHeight="1">
      <c r="T977" s="4"/>
      <c r="X977" s="4"/>
      <c r="AC977" s="4"/>
    </row>
    <row r="978" ht="15.75" customHeight="1">
      <c r="T978" s="4"/>
      <c r="X978" s="4"/>
      <c r="AC978" s="4"/>
    </row>
    <row r="979" ht="15.75" customHeight="1">
      <c r="T979" s="4"/>
      <c r="X979" s="4"/>
      <c r="AC979" s="4"/>
    </row>
    <row r="980" ht="15.75" customHeight="1">
      <c r="T980" s="4"/>
      <c r="X980" s="4"/>
      <c r="AC980" s="4"/>
    </row>
    <row r="981" ht="15.75" customHeight="1">
      <c r="T981" s="4"/>
      <c r="X981" s="4"/>
      <c r="AC981" s="4"/>
    </row>
    <row r="982" ht="15.75" customHeight="1">
      <c r="T982" s="4"/>
      <c r="X982" s="4"/>
      <c r="AC982" s="4"/>
    </row>
    <row r="983" ht="15.75" customHeight="1">
      <c r="T983" s="4"/>
      <c r="X983" s="4"/>
      <c r="AC983" s="4"/>
    </row>
    <row r="984" ht="15.75" customHeight="1">
      <c r="T984" s="4"/>
      <c r="X984" s="4"/>
      <c r="AC984" s="4"/>
    </row>
    <row r="985" ht="15.75" customHeight="1">
      <c r="T985" s="4"/>
      <c r="X985" s="4"/>
      <c r="AC985" s="4"/>
    </row>
    <row r="986" ht="15.75" customHeight="1">
      <c r="T986" s="4"/>
      <c r="X986" s="4"/>
      <c r="AC986" s="4"/>
    </row>
    <row r="987" ht="15.75" customHeight="1">
      <c r="T987" s="4"/>
      <c r="X987" s="4"/>
      <c r="AC987" s="4"/>
    </row>
    <row r="988" ht="15.75" customHeight="1">
      <c r="T988" s="4"/>
      <c r="X988" s="4"/>
      <c r="AC988" s="4"/>
    </row>
    <row r="989" ht="15.75" customHeight="1">
      <c r="T989" s="4"/>
      <c r="X989" s="4"/>
      <c r="AC989" s="4"/>
    </row>
    <row r="990" ht="15.75" customHeight="1">
      <c r="T990" s="4"/>
      <c r="X990" s="4"/>
      <c r="AC990" s="4"/>
    </row>
    <row r="991" ht="15.75" customHeight="1">
      <c r="T991" s="4"/>
      <c r="X991" s="4"/>
      <c r="AC991" s="4"/>
    </row>
    <row r="992" ht="15.75" customHeight="1">
      <c r="T992" s="4"/>
      <c r="X992" s="4"/>
      <c r="AC992" s="4"/>
    </row>
    <row r="993" ht="15.75" customHeight="1">
      <c r="T993" s="4"/>
      <c r="X993" s="4"/>
      <c r="AC993" s="4"/>
    </row>
    <row r="994" ht="15.75" customHeight="1">
      <c r="T994" s="4"/>
      <c r="X994" s="4"/>
      <c r="AC994" s="4"/>
    </row>
    <row r="995" ht="15.75" customHeight="1">
      <c r="T995" s="4"/>
      <c r="X995" s="4"/>
      <c r="AC995" s="4"/>
    </row>
    <row r="996" ht="15.75" customHeight="1">
      <c r="T996" s="4"/>
      <c r="X996" s="4"/>
      <c r="AC996" s="4"/>
    </row>
    <row r="997" ht="15.75" customHeight="1">
      <c r="T997" s="4"/>
      <c r="X997" s="4"/>
      <c r="AC997" s="4"/>
    </row>
    <row r="998" ht="15.75" customHeight="1">
      <c r="T998" s="4"/>
      <c r="X998" s="4"/>
      <c r="AC998" s="4"/>
    </row>
    <row r="999" ht="15.75" customHeight="1">
      <c r="T999" s="4"/>
      <c r="X999" s="4"/>
      <c r="AC999" s="4"/>
    </row>
    <row r="1000" ht="15.75" customHeight="1">
      <c r="T1000" s="4"/>
      <c r="X1000" s="4"/>
      <c r="AC1000" s="4"/>
    </row>
  </sheetData>
  <autoFilter ref="$A$1:$AG$145"/>
  <customSheetViews>
    <customSheetView guid="{E2682732-3BB0-4B81-A63A-DE2E1A1533DD}" filter="1" showAutoFilter="1">
      <autoFilter ref="$A$1:$AG$145"/>
    </customSheetView>
    <customSheetView guid="{481CD36E-1420-479E-97B6-4BEDA9551DA0}" filter="1" showAutoFilter="1">
      <autoFilter ref="$A$1:$AG$145">
        <filterColumn colId="15">
          <filters>
            <filter val="Enviado"/>
          </filters>
        </filterColumn>
      </autoFilter>
    </customSheetView>
    <customSheetView guid="{557F9E73-6C92-4457-8E5F-FDA94A4363FC}" filter="1" showAutoFilter="1">
      <autoFilter ref="$A$1:$AG$145"/>
    </customSheetView>
    <customSheetView guid="{AECD55FF-6EB3-4242-81C0-B27A798F75EE}" filter="1" showAutoFilter="1">
      <autoFilter ref="$A$1:$AG$145"/>
    </customSheetView>
  </customSheetViews>
  <dataValidations>
    <dataValidation type="list" allowBlank="1" sqref="T2:T1000">
      <formula1>"Sí,No,Pendiente"</formula1>
    </dataValidation>
    <dataValidation type="list" allowBlank="1" sqref="X2:X1000">
      <formula1>"Alto,Medio,Bajo,No interesa"</formula1>
    </dataValidation>
    <dataValidation type="list" allowBlank="1" sqref="AC2:AC1000">
      <formula1>"Responder,Llamar,Enviar dossier,Enviar tarifas,Cerrar fecha,Esperar,Seguimiento si no responden"</formula1>
    </dataValidation>
  </dataValidations>
  <hyperlinks>
    <hyperlink r:id="rId1" ref="L2"/>
    <hyperlink r:id="rId2" ref="M2"/>
    <hyperlink r:id="rId3" ref="L3"/>
    <hyperlink r:id="rId4" ref="M3"/>
    <hyperlink r:id="rId5" ref="L4"/>
    <hyperlink r:id="rId6" ref="M4"/>
    <hyperlink r:id="rId7" ref="L5"/>
    <hyperlink r:id="rId8" ref="M5"/>
    <hyperlink r:id="rId9" ref="L6"/>
    <hyperlink r:id="rId10" ref="M6"/>
    <hyperlink r:id="rId11" ref="L7"/>
    <hyperlink r:id="rId12" ref="M7"/>
    <hyperlink r:id="rId13" ref="L8"/>
    <hyperlink r:id="rId14" ref="M8"/>
    <hyperlink r:id="rId15" ref="L9"/>
    <hyperlink r:id="rId16" ref="M9"/>
    <hyperlink r:id="rId17" ref="L10"/>
    <hyperlink r:id="rId18" ref="M10"/>
    <hyperlink r:id="rId19" ref="L11"/>
    <hyperlink r:id="rId20" ref="M11"/>
    <hyperlink r:id="rId21" ref="L12"/>
    <hyperlink r:id="rId22" ref="M12"/>
    <hyperlink r:id="rId23" ref="L13"/>
    <hyperlink r:id="rId24" ref="M13"/>
    <hyperlink r:id="rId25" ref="L14"/>
    <hyperlink r:id="rId26" ref="M14"/>
    <hyperlink r:id="rId27" ref="L15"/>
    <hyperlink r:id="rId28" ref="M15"/>
    <hyperlink r:id="rId29" ref="L16"/>
    <hyperlink r:id="rId30" ref="M16"/>
    <hyperlink r:id="rId31" ref="L17"/>
    <hyperlink r:id="rId32" ref="M17"/>
    <hyperlink r:id="rId33" ref="L18"/>
    <hyperlink r:id="rId34" ref="M18"/>
    <hyperlink r:id="rId35" ref="L19"/>
    <hyperlink r:id="rId36" ref="M19"/>
    <hyperlink r:id="rId37" ref="L20"/>
    <hyperlink r:id="rId38" ref="M20"/>
    <hyperlink r:id="rId39" ref="L21"/>
    <hyperlink r:id="rId40" ref="M21"/>
    <hyperlink r:id="rId41" ref="L22"/>
    <hyperlink r:id="rId42" ref="M22"/>
    <hyperlink r:id="rId43" ref="L23"/>
    <hyperlink r:id="rId44" ref="M23"/>
    <hyperlink r:id="rId45" ref="L24"/>
    <hyperlink r:id="rId46" ref="M24"/>
    <hyperlink r:id="rId47" ref="L25"/>
    <hyperlink r:id="rId48" ref="M25"/>
    <hyperlink r:id="rId49" ref="L26"/>
    <hyperlink r:id="rId50" ref="M26"/>
    <hyperlink r:id="rId51" ref="L27"/>
    <hyperlink r:id="rId52" ref="M27"/>
    <hyperlink r:id="rId53" ref="L28"/>
    <hyperlink r:id="rId54" ref="M28"/>
    <hyperlink r:id="rId55" ref="L29"/>
    <hyperlink r:id="rId56" ref="M29"/>
    <hyperlink r:id="rId57" ref="L30"/>
    <hyperlink r:id="rId58" ref="M30"/>
    <hyperlink r:id="rId59" ref="L31"/>
    <hyperlink r:id="rId60" ref="M31"/>
    <hyperlink r:id="rId61" ref="L32"/>
    <hyperlink r:id="rId62" ref="M32"/>
    <hyperlink r:id="rId63" ref="L33"/>
    <hyperlink r:id="rId64" ref="M33"/>
    <hyperlink r:id="rId65" ref="L34"/>
    <hyperlink r:id="rId66" ref="M34"/>
    <hyperlink r:id="rId67" ref="L35"/>
    <hyperlink r:id="rId68" ref="M35"/>
    <hyperlink r:id="rId69" ref="L36"/>
    <hyperlink r:id="rId70" ref="M36"/>
    <hyperlink r:id="rId71" ref="L37"/>
    <hyperlink r:id="rId72" ref="M37"/>
    <hyperlink r:id="rId73" ref="D38"/>
    <hyperlink r:id="rId74" ref="L38"/>
    <hyperlink r:id="rId75" ref="M38"/>
    <hyperlink r:id="rId76" ref="L39"/>
    <hyperlink r:id="rId77" ref="M39"/>
    <hyperlink r:id="rId78" ref="L40"/>
    <hyperlink r:id="rId79" ref="M40"/>
    <hyperlink r:id="rId80" ref="L41"/>
    <hyperlink r:id="rId81" ref="M41"/>
    <hyperlink r:id="rId82" ref="L42"/>
    <hyperlink r:id="rId83" ref="M42"/>
    <hyperlink r:id="rId84" ref="L43"/>
    <hyperlink r:id="rId85" ref="M43"/>
    <hyperlink r:id="rId86" ref="L44"/>
    <hyperlink r:id="rId87" ref="M44"/>
    <hyperlink r:id="rId88" ref="L45"/>
    <hyperlink r:id="rId89" ref="M45"/>
    <hyperlink r:id="rId90" ref="L46"/>
    <hyperlink r:id="rId91" ref="M46"/>
    <hyperlink r:id="rId92" ref="L47"/>
    <hyperlink r:id="rId93" ref="M47"/>
    <hyperlink r:id="rId94" ref="L48"/>
    <hyperlink r:id="rId95" ref="M48"/>
    <hyperlink r:id="rId96" ref="L49"/>
    <hyperlink r:id="rId97" ref="M49"/>
    <hyperlink r:id="rId98" ref="L50"/>
    <hyperlink r:id="rId99" ref="M50"/>
    <hyperlink r:id="rId100" ref="L51"/>
    <hyperlink r:id="rId101" ref="M51"/>
    <hyperlink r:id="rId102" ref="L52"/>
    <hyperlink r:id="rId103" ref="M52"/>
    <hyperlink r:id="rId104" ref="L53"/>
    <hyperlink r:id="rId105" ref="M53"/>
    <hyperlink r:id="rId106" ref="L54"/>
    <hyperlink r:id="rId107" ref="M54"/>
    <hyperlink r:id="rId108" ref="L55"/>
    <hyperlink r:id="rId109" ref="M55"/>
    <hyperlink r:id="rId110" ref="L56"/>
    <hyperlink r:id="rId111" ref="M56"/>
    <hyperlink r:id="rId112" ref="L57"/>
    <hyperlink r:id="rId113" ref="M57"/>
    <hyperlink r:id="rId114" ref="L58"/>
    <hyperlink r:id="rId115" ref="M58"/>
    <hyperlink r:id="rId116" ref="L59"/>
    <hyperlink r:id="rId117" ref="M59"/>
    <hyperlink r:id="rId118" ref="L60"/>
    <hyperlink r:id="rId119" ref="M60"/>
    <hyperlink r:id="rId120" ref="L61"/>
    <hyperlink r:id="rId121" ref="M61"/>
    <hyperlink r:id="rId122" ref="L62"/>
    <hyperlink r:id="rId123" ref="M62"/>
    <hyperlink r:id="rId124" ref="L63"/>
    <hyperlink r:id="rId125" ref="M63"/>
    <hyperlink r:id="rId126" ref="L64"/>
    <hyperlink r:id="rId127" ref="M64"/>
    <hyperlink r:id="rId128" ref="L65"/>
    <hyperlink r:id="rId129" ref="M65"/>
    <hyperlink r:id="rId130" ref="L66"/>
    <hyperlink r:id="rId131" ref="M66"/>
    <hyperlink r:id="rId132" ref="L67"/>
    <hyperlink r:id="rId133" ref="M67"/>
    <hyperlink r:id="rId134" ref="L68"/>
    <hyperlink r:id="rId135" ref="M68"/>
    <hyperlink r:id="rId136" ref="L69"/>
    <hyperlink r:id="rId137" ref="M69"/>
    <hyperlink r:id="rId138" ref="L70"/>
    <hyperlink r:id="rId139" ref="M70"/>
    <hyperlink r:id="rId140" ref="L71"/>
    <hyperlink r:id="rId141" ref="M71"/>
    <hyperlink r:id="rId142" ref="L72"/>
    <hyperlink r:id="rId143" ref="M72"/>
    <hyperlink r:id="rId144" ref="L73"/>
    <hyperlink r:id="rId145" ref="M73"/>
    <hyperlink r:id="rId146" ref="L74"/>
    <hyperlink r:id="rId147" ref="M74"/>
    <hyperlink r:id="rId148" ref="L75"/>
    <hyperlink r:id="rId149" ref="M75"/>
    <hyperlink r:id="rId150" ref="L76"/>
    <hyperlink r:id="rId151" ref="M76"/>
    <hyperlink r:id="rId152" ref="L77"/>
    <hyperlink r:id="rId153" ref="M77"/>
    <hyperlink r:id="rId154" ref="L78"/>
    <hyperlink r:id="rId155" ref="M78"/>
    <hyperlink r:id="rId156" ref="L79"/>
    <hyperlink r:id="rId157" ref="M79"/>
    <hyperlink r:id="rId158" ref="L80"/>
    <hyperlink r:id="rId159" ref="M80"/>
    <hyperlink r:id="rId160" ref="L81"/>
    <hyperlink r:id="rId161" ref="M81"/>
    <hyperlink r:id="rId162" ref="L82"/>
    <hyperlink r:id="rId163" ref="M82"/>
    <hyperlink r:id="rId164" ref="L83"/>
    <hyperlink r:id="rId165" ref="M83"/>
    <hyperlink r:id="rId166" ref="L84"/>
    <hyperlink r:id="rId167" ref="M84"/>
    <hyperlink r:id="rId168" ref="L85"/>
    <hyperlink r:id="rId169" ref="M85"/>
    <hyperlink r:id="rId170" ref="L86"/>
    <hyperlink r:id="rId171" ref="M86"/>
    <hyperlink r:id="rId172" ref="L87"/>
    <hyperlink r:id="rId173" ref="M87"/>
    <hyperlink r:id="rId174" ref="L88"/>
    <hyperlink r:id="rId175" ref="M88"/>
    <hyperlink r:id="rId176" ref="L89"/>
    <hyperlink r:id="rId177" ref="M89"/>
    <hyperlink r:id="rId178" ref="AI89"/>
    <hyperlink r:id="rId179" ref="L90"/>
    <hyperlink r:id="rId180" ref="M90"/>
    <hyperlink r:id="rId181" ref="L91"/>
    <hyperlink r:id="rId182" ref="M91"/>
    <hyperlink r:id="rId183" ref="L92"/>
    <hyperlink r:id="rId184" ref="M92"/>
    <hyperlink r:id="rId185" ref="L93"/>
    <hyperlink r:id="rId186" ref="M93"/>
    <hyperlink r:id="rId187" ref="L94"/>
    <hyperlink r:id="rId188" ref="M94"/>
    <hyperlink r:id="rId189" ref="L95"/>
    <hyperlink r:id="rId190" ref="M95"/>
    <hyperlink r:id="rId191" ref="L96"/>
    <hyperlink r:id="rId192" ref="M96"/>
    <hyperlink r:id="rId193" ref="L97"/>
    <hyperlink r:id="rId194" ref="M97"/>
    <hyperlink r:id="rId195" ref="L98"/>
    <hyperlink r:id="rId196" ref="M98"/>
    <hyperlink r:id="rId197" ref="L99"/>
    <hyperlink r:id="rId198" ref="M99"/>
    <hyperlink r:id="rId199" ref="L100"/>
    <hyperlink r:id="rId200" ref="M100"/>
    <hyperlink r:id="rId201" ref="L101"/>
    <hyperlink r:id="rId202" ref="M101"/>
    <hyperlink r:id="rId203" ref="L102"/>
    <hyperlink r:id="rId204" ref="M102"/>
    <hyperlink r:id="rId205" ref="L103"/>
    <hyperlink r:id="rId206" ref="M103"/>
    <hyperlink r:id="rId207" ref="L104"/>
    <hyperlink r:id="rId208" ref="M104"/>
    <hyperlink r:id="rId209" ref="L105"/>
    <hyperlink r:id="rId210" ref="M105"/>
    <hyperlink r:id="rId211" ref="L106"/>
    <hyperlink r:id="rId212" ref="M106"/>
    <hyperlink r:id="rId213" ref="L107"/>
    <hyperlink r:id="rId214" ref="M107"/>
    <hyperlink r:id="rId215" ref="L108"/>
    <hyperlink r:id="rId216" ref="M108"/>
    <hyperlink r:id="rId217" ref="L109"/>
    <hyperlink r:id="rId218" ref="M109"/>
    <hyperlink r:id="rId219" ref="L110"/>
    <hyperlink r:id="rId220" ref="M110"/>
    <hyperlink r:id="rId221" ref="L111"/>
    <hyperlink r:id="rId222" ref="M111"/>
    <hyperlink r:id="rId223" ref="L112"/>
    <hyperlink r:id="rId224" ref="M112"/>
    <hyperlink r:id="rId225" ref="L113"/>
    <hyperlink r:id="rId226" ref="M113"/>
    <hyperlink r:id="rId227" ref="L114"/>
    <hyperlink r:id="rId228" ref="M114"/>
    <hyperlink r:id="rId229" ref="L115"/>
    <hyperlink r:id="rId230" ref="M115"/>
    <hyperlink r:id="rId231" ref="L116"/>
    <hyperlink r:id="rId232" ref="M116"/>
    <hyperlink r:id="rId233" ref="L117"/>
    <hyperlink r:id="rId234" ref="M117"/>
    <hyperlink r:id="rId235" ref="L118"/>
    <hyperlink r:id="rId236" ref="M118"/>
    <hyperlink r:id="rId237" ref="L119"/>
    <hyperlink r:id="rId238" ref="M119"/>
    <hyperlink r:id="rId239" ref="L120"/>
    <hyperlink r:id="rId240" ref="M120"/>
    <hyperlink r:id="rId241" ref="L121"/>
    <hyperlink r:id="rId242" ref="M121"/>
    <hyperlink r:id="rId243" ref="L122"/>
    <hyperlink r:id="rId244" ref="M122"/>
    <hyperlink r:id="rId245" ref="L123"/>
    <hyperlink r:id="rId246" ref="M123"/>
    <hyperlink r:id="rId247" ref="L124"/>
    <hyperlink r:id="rId248" ref="M124"/>
    <hyperlink r:id="rId249" ref="L125"/>
    <hyperlink r:id="rId250" ref="M125"/>
    <hyperlink r:id="rId251" ref="L126"/>
    <hyperlink r:id="rId252" ref="M126"/>
    <hyperlink r:id="rId253" ref="L127"/>
    <hyperlink r:id="rId254" ref="M127"/>
    <hyperlink r:id="rId255" ref="L128"/>
    <hyperlink r:id="rId256" ref="M128"/>
    <hyperlink r:id="rId257" ref="L129"/>
    <hyperlink r:id="rId258" ref="M129"/>
    <hyperlink r:id="rId259" ref="L130"/>
    <hyperlink r:id="rId260" ref="M130"/>
    <hyperlink r:id="rId261" ref="L131"/>
    <hyperlink r:id="rId262" ref="M131"/>
    <hyperlink r:id="rId263" ref="L132"/>
    <hyperlink r:id="rId264" ref="M132"/>
    <hyperlink r:id="rId265" ref="L133"/>
    <hyperlink r:id="rId266" ref="M133"/>
    <hyperlink r:id="rId267" ref="L134"/>
    <hyperlink r:id="rId268" ref="M134"/>
    <hyperlink r:id="rId269" ref="L135"/>
    <hyperlink r:id="rId270" ref="M135"/>
    <hyperlink r:id="rId271" ref="L136"/>
    <hyperlink r:id="rId272" ref="M136"/>
    <hyperlink r:id="rId273" ref="L137"/>
    <hyperlink r:id="rId274" ref="M137"/>
    <hyperlink r:id="rId275" ref="L138"/>
    <hyperlink r:id="rId276" ref="M138"/>
    <hyperlink r:id="rId277" ref="L139"/>
    <hyperlink r:id="rId278" ref="M139"/>
    <hyperlink r:id="rId279" ref="L140"/>
    <hyperlink r:id="rId280" ref="M140"/>
    <hyperlink r:id="rId281" ref="L141"/>
    <hyperlink r:id="rId282" ref="M141"/>
    <hyperlink r:id="rId283" ref="L142"/>
    <hyperlink r:id="rId284" ref="M142"/>
    <hyperlink r:id="rId285" ref="L143"/>
    <hyperlink r:id="rId286" ref="M143"/>
    <hyperlink r:id="rId287" ref="L144"/>
    <hyperlink r:id="rId288" ref="M144"/>
    <hyperlink r:id="rId289" ref="L145"/>
    <hyperlink r:id="rId290" ref="M145"/>
  </hyperlinks>
  <printOptions/>
  <pageMargins bottom="0.75" footer="0.0" header="0.0" left="0.7" right="0.7" top="0.75"/>
  <pageSetup orientation="landscape"/>
  <drawing r:id="rId29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4" max="4" width="23.0"/>
  </cols>
  <sheetData>
    <row r="1">
      <c r="A1" s="6" t="s">
        <v>1030</v>
      </c>
      <c r="B1" s="6" t="s">
        <v>1031</v>
      </c>
      <c r="C1" s="6" t="s">
        <v>1032</v>
      </c>
      <c r="D1" s="6" t="s">
        <v>1033</v>
      </c>
      <c r="E1" s="6" t="s">
        <v>1034</v>
      </c>
      <c r="F1" s="6" t="s">
        <v>1035</v>
      </c>
      <c r="G1" s="6" t="s">
        <v>1036</v>
      </c>
      <c r="H1" s="6" t="s">
        <v>1037</v>
      </c>
      <c r="I1" s="6" t="s">
        <v>1038</v>
      </c>
    </row>
    <row r="2">
      <c r="A2" s="23">
        <v>46147.61921478009</v>
      </c>
      <c r="B2" s="6" t="s">
        <v>1039</v>
      </c>
      <c r="D2" s="6" t="s">
        <v>1040</v>
      </c>
      <c r="E2" s="6" t="s">
        <v>1041</v>
      </c>
      <c r="F2" s="6" t="s">
        <v>1042</v>
      </c>
      <c r="G2" s="23">
        <v>46147.15431712963</v>
      </c>
      <c r="H2" s="6" t="s">
        <v>1043</v>
      </c>
      <c r="I2" s="6" t="s">
        <v>1044</v>
      </c>
    </row>
    <row r="3">
      <c r="A3" s="23">
        <v>46147.619224988426</v>
      </c>
      <c r="B3" s="6" t="s">
        <v>1045</v>
      </c>
      <c r="C3" s="24">
        <v>117.0</v>
      </c>
      <c r="D3" s="6" t="s">
        <v>831</v>
      </c>
      <c r="E3" s="6" t="s">
        <v>829</v>
      </c>
      <c r="F3" s="6" t="s">
        <v>1046</v>
      </c>
      <c r="G3" s="23">
        <v>46147.098750000005</v>
      </c>
      <c r="H3" s="6" t="s">
        <v>1047</v>
      </c>
      <c r="I3" s="6" t="s">
        <v>835</v>
      </c>
    </row>
    <row r="4">
      <c r="A4" s="23">
        <v>46147.61922842593</v>
      </c>
      <c r="B4" s="6" t="s">
        <v>1048</v>
      </c>
      <c r="D4" s="6" t="s">
        <v>611</v>
      </c>
      <c r="F4" s="6" t="s">
        <v>1049</v>
      </c>
      <c r="G4" s="23">
        <v>46147.06228009259</v>
      </c>
      <c r="H4" s="6" t="s">
        <v>1043</v>
      </c>
      <c r="I4" s="6" t="s">
        <v>1050</v>
      </c>
    </row>
    <row r="5">
      <c r="A5" s="23">
        <v>46147.6192317824</v>
      </c>
      <c r="B5" s="6" t="s">
        <v>1051</v>
      </c>
      <c r="D5" s="6" t="s">
        <v>611</v>
      </c>
      <c r="F5" s="6" t="s">
        <v>1049</v>
      </c>
      <c r="G5" s="23">
        <v>46147.07524305556</v>
      </c>
      <c r="H5" s="6" t="s">
        <v>1043</v>
      </c>
      <c r="I5" s="6" t="s">
        <v>1052</v>
      </c>
    </row>
    <row r="6">
      <c r="A6" s="23">
        <v>46147.619236597224</v>
      </c>
      <c r="B6" s="6" t="s">
        <v>1053</v>
      </c>
      <c r="D6" s="6" t="s">
        <v>1054</v>
      </c>
      <c r="E6" s="6" t="s">
        <v>1055</v>
      </c>
      <c r="F6" s="6" t="s">
        <v>1056</v>
      </c>
      <c r="G6" s="23">
        <v>46147.032326388886</v>
      </c>
      <c r="H6" s="6" t="s">
        <v>1043</v>
      </c>
      <c r="I6" s="6" t="s">
        <v>1057</v>
      </c>
    </row>
    <row r="7">
      <c r="A7" s="23">
        <v>46147.61925836805</v>
      </c>
      <c r="B7" s="6" t="s">
        <v>1058</v>
      </c>
      <c r="C7" s="24">
        <v>53.0</v>
      </c>
      <c r="D7" s="6" t="s">
        <v>380</v>
      </c>
      <c r="F7" s="6" t="s">
        <v>1059</v>
      </c>
      <c r="G7" s="23">
        <v>46147.01726851852</v>
      </c>
      <c r="H7" s="6" t="s">
        <v>1047</v>
      </c>
      <c r="I7" s="6" t="s">
        <v>385</v>
      </c>
    </row>
    <row r="8">
      <c r="A8" s="23">
        <v>46147.61926958333</v>
      </c>
      <c r="B8" s="6" t="s">
        <v>1060</v>
      </c>
      <c r="C8" s="24">
        <v>40.0</v>
      </c>
      <c r="D8" s="6" t="s">
        <v>294</v>
      </c>
      <c r="E8" s="6" t="s">
        <v>298</v>
      </c>
      <c r="F8" s="6" t="s">
        <v>1061</v>
      </c>
      <c r="G8" s="23">
        <v>46147.014189814814</v>
      </c>
      <c r="H8" s="6" t="s">
        <v>1047</v>
      </c>
      <c r="I8" s="6" t="s">
        <v>302</v>
      </c>
    </row>
    <row r="9">
      <c r="A9" s="23">
        <v>46147.6192795949</v>
      </c>
      <c r="B9" s="6" t="s">
        <v>1062</v>
      </c>
      <c r="C9" s="24">
        <v>93.0</v>
      </c>
      <c r="D9" s="6" t="s">
        <v>664</v>
      </c>
      <c r="E9" s="6" t="s">
        <v>667</v>
      </c>
      <c r="F9" s="6" t="s">
        <v>1063</v>
      </c>
      <c r="G9" s="23">
        <v>46146.36723379629</v>
      </c>
      <c r="H9" s="6" t="s">
        <v>1047</v>
      </c>
      <c r="I9" s="6" t="s">
        <v>669</v>
      </c>
    </row>
    <row r="10">
      <c r="A10" s="23">
        <v>46147.61928271991</v>
      </c>
      <c r="B10" s="6" t="s">
        <v>1064</v>
      </c>
      <c r="D10" s="6" t="s">
        <v>1065</v>
      </c>
      <c r="E10" s="6" t="s">
        <v>1066</v>
      </c>
      <c r="F10" s="6" t="s">
        <v>1067</v>
      </c>
      <c r="G10" s="23">
        <v>46146.30966435185</v>
      </c>
      <c r="H10" s="6" t="s">
        <v>1043</v>
      </c>
      <c r="I10" s="6" t="s">
        <v>1068</v>
      </c>
    </row>
    <row r="11">
      <c r="A11" s="23">
        <v>46147.63209673611</v>
      </c>
      <c r="B11" s="6" t="s">
        <v>1069</v>
      </c>
      <c r="D11" s="6" t="s">
        <v>1070</v>
      </c>
      <c r="F11" s="6" t="s">
        <v>1071</v>
      </c>
      <c r="G11" s="23">
        <v>46146.5069212963</v>
      </c>
      <c r="H11" s="6" t="s">
        <v>1043</v>
      </c>
      <c r="I11" s="6" t="s">
        <v>1072</v>
      </c>
    </row>
    <row r="12">
      <c r="A12" s="23">
        <v>46147.632100902774</v>
      </c>
      <c r="B12" s="6" t="s">
        <v>1073</v>
      </c>
      <c r="D12" s="6" t="s">
        <v>1074</v>
      </c>
      <c r="E12" s="6" t="s">
        <v>1075</v>
      </c>
      <c r="F12" s="6" t="s">
        <v>1076</v>
      </c>
      <c r="G12" s="23">
        <v>46146.506377314814</v>
      </c>
      <c r="H12" s="6" t="s">
        <v>1043</v>
      </c>
      <c r="I12" s="6" t="s">
        <v>1077</v>
      </c>
    </row>
    <row r="13">
      <c r="A13" s="23">
        <v>46147.67666434028</v>
      </c>
      <c r="B13" s="6" t="s">
        <v>1078</v>
      </c>
      <c r="D13" s="6" t="s">
        <v>1074</v>
      </c>
      <c r="E13" s="6" t="s">
        <v>1075</v>
      </c>
      <c r="F13" s="6" t="s">
        <v>1076</v>
      </c>
      <c r="G13" s="23">
        <v>46146.50616898148</v>
      </c>
      <c r="H13" s="6" t="s">
        <v>1043</v>
      </c>
      <c r="I13" s="6" t="s">
        <v>1079</v>
      </c>
    </row>
    <row r="14">
      <c r="A14" s="23">
        <v>46148.051635358795</v>
      </c>
      <c r="B14" s="6" t="s">
        <v>1080</v>
      </c>
      <c r="D14" s="6" t="s">
        <v>1081</v>
      </c>
      <c r="E14" s="6" t="s">
        <v>1082</v>
      </c>
      <c r="F14" s="6" t="s">
        <v>1083</v>
      </c>
      <c r="G14" s="23">
        <v>46148.04715277778</v>
      </c>
      <c r="H14" s="6" t="s">
        <v>1043</v>
      </c>
      <c r="I14" s="6" t="s">
        <v>1084</v>
      </c>
    </row>
    <row r="15">
      <c r="A15" s="23">
        <v>46148.09571116898</v>
      </c>
      <c r="B15" s="6" t="s">
        <v>1085</v>
      </c>
      <c r="C15" s="24">
        <v>100.0</v>
      </c>
      <c r="D15" s="6" t="s">
        <v>712</v>
      </c>
      <c r="E15" s="6" t="s">
        <v>715</v>
      </c>
      <c r="F15" s="6" t="s">
        <v>1086</v>
      </c>
      <c r="G15" s="23">
        <v>46148.08017361111</v>
      </c>
      <c r="H15" s="6" t="s">
        <v>1047</v>
      </c>
      <c r="I15" s="6" t="s">
        <v>717</v>
      </c>
    </row>
    <row r="16">
      <c r="A16" s="23">
        <v>46148.426638379635</v>
      </c>
      <c r="B16" s="6" t="s">
        <v>1087</v>
      </c>
      <c r="D16" s="6" t="s">
        <v>1088</v>
      </c>
      <c r="E16" s="6" t="s">
        <v>1089</v>
      </c>
      <c r="F16" s="6" t="s">
        <v>1090</v>
      </c>
      <c r="G16" s="23">
        <v>46148.41827546296</v>
      </c>
      <c r="H16" s="6" t="s">
        <v>1043</v>
      </c>
      <c r="I16" s="6" t="s">
        <v>1091</v>
      </c>
    </row>
    <row r="17">
      <c r="A17" s="23">
        <v>46149.05167255787</v>
      </c>
      <c r="B17" s="6" t="s">
        <v>1092</v>
      </c>
      <c r="C17" s="24">
        <v>84.0</v>
      </c>
      <c r="D17" s="6" t="s">
        <v>582</v>
      </c>
      <c r="E17" s="6" t="s">
        <v>585</v>
      </c>
      <c r="F17" s="6" t="s">
        <v>1093</v>
      </c>
      <c r="G17" s="23">
        <v>46149.02803240741</v>
      </c>
      <c r="H17" s="6" t="s">
        <v>1047</v>
      </c>
      <c r="I17" s="6" t="s">
        <v>590</v>
      </c>
    </row>
    <row r="18">
      <c r="A18" s="23">
        <v>46149.1350021875</v>
      </c>
      <c r="B18" s="6" t="s">
        <v>1094</v>
      </c>
      <c r="D18" s="6" t="s">
        <v>1095</v>
      </c>
      <c r="E18" s="6" t="s">
        <v>1096</v>
      </c>
      <c r="F18" s="6" t="s">
        <v>1097</v>
      </c>
      <c r="G18" s="23">
        <v>46149.12447916667</v>
      </c>
      <c r="H18" s="6" t="s">
        <v>1043</v>
      </c>
      <c r="I18" s="6" t="s">
        <v>1098</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4.38"/>
  </cols>
  <sheetData>
    <row r="20">
      <c r="A20" s="6" t="s">
        <v>1099</v>
      </c>
      <c r="B20" s="6" t="s">
        <v>1100</v>
      </c>
    </row>
    <row r="21">
      <c r="A21" s="6" t="s">
        <v>1101</v>
      </c>
      <c r="B21" s="24">
        <v>0.0</v>
      </c>
    </row>
    <row r="22">
      <c r="A22" s="6" t="s">
        <v>1102</v>
      </c>
      <c r="B22" s="24">
        <v>0.0</v>
      </c>
    </row>
    <row r="23">
      <c r="A23" s="6" t="s">
        <v>1103</v>
      </c>
      <c r="B23" s="24">
        <v>0.0</v>
      </c>
    </row>
    <row r="24">
      <c r="A24" s="6" t="s">
        <v>1104</v>
      </c>
      <c r="B24" s="24">
        <v>17.0</v>
      </c>
    </row>
    <row r="25">
      <c r="A25" s="6" t="s">
        <v>9</v>
      </c>
      <c r="B25" s="6" t="s">
        <v>1105</v>
      </c>
    </row>
    <row r="26">
      <c r="A26" s="6" t="s">
        <v>1106</v>
      </c>
      <c r="B26" s="5">
        <v>46149.384979305556</v>
      </c>
    </row>
    <row r="31">
      <c r="A31" s="6" t="s">
        <v>1099</v>
      </c>
      <c r="B31" s="6" t="s">
        <v>1107</v>
      </c>
    </row>
    <row r="32">
      <c r="A32" s="6" t="s">
        <v>1108</v>
      </c>
      <c r="B32" s="24">
        <v>26.0</v>
      </c>
    </row>
    <row r="33">
      <c r="A33" s="6" t="s">
        <v>1109</v>
      </c>
      <c r="B33" s="24">
        <v>6.0</v>
      </c>
    </row>
    <row r="34">
      <c r="A34" s="6" t="s">
        <v>1110</v>
      </c>
      <c r="B34" s="24">
        <v>40.0</v>
      </c>
    </row>
    <row r="35">
      <c r="A35" s="6" t="s">
        <v>9</v>
      </c>
      <c r="B35" s="6" t="s">
        <v>1111</v>
      </c>
    </row>
    <row r="36">
      <c r="A36" s="6" t="s">
        <v>1106</v>
      </c>
      <c r="B36" s="5">
        <v>46149.41648702546</v>
      </c>
    </row>
    <row r="39">
      <c r="A39" s="6" t="s">
        <v>1112</v>
      </c>
      <c r="B39" s="6" t="s">
        <v>1113</v>
      </c>
    </row>
    <row r="40">
      <c r="A40" s="6" t="s">
        <v>1106</v>
      </c>
      <c r="B40" s="5">
        <v>46147.644978067125</v>
      </c>
    </row>
    <row r="43">
      <c r="A43" s="6" t="s">
        <v>1114</v>
      </c>
      <c r="B43" s="6" t="s">
        <v>1115</v>
      </c>
    </row>
    <row r="44">
      <c r="A44" s="6" t="s">
        <v>1116</v>
      </c>
      <c r="B44" s="6" t="s">
        <v>1117</v>
      </c>
    </row>
    <row r="45">
      <c r="A45" s="6" t="s">
        <v>1106</v>
      </c>
      <c r="B45" s="5">
        <v>46147.64901277778</v>
      </c>
    </row>
    <row r="47">
      <c r="A47" s="6" t="s">
        <v>1099</v>
      </c>
      <c r="B47" s="6" t="s">
        <v>1118</v>
      </c>
    </row>
    <row r="48">
      <c r="A48" s="6" t="s">
        <v>9</v>
      </c>
      <c r="B48" s="6" t="s">
        <v>1119</v>
      </c>
    </row>
    <row r="49">
      <c r="A49" s="6" t="s">
        <v>1120</v>
      </c>
      <c r="B49" s="6" t="s">
        <v>1121</v>
      </c>
    </row>
    <row r="50">
      <c r="A50" s="6" t="s">
        <v>1122</v>
      </c>
      <c r="B50" s="6" t="s">
        <v>1123</v>
      </c>
    </row>
    <row r="51">
      <c r="A51" s="6" t="s">
        <v>1106</v>
      </c>
      <c r="B51" s="5">
        <v>46147.677104965274</v>
      </c>
    </row>
    <row r="53">
      <c r="A53" s="6" t="s">
        <v>1099</v>
      </c>
      <c r="B53" s="6" t="s">
        <v>1124</v>
      </c>
    </row>
    <row r="54">
      <c r="A54" s="6" t="s">
        <v>1125</v>
      </c>
      <c r="B54" s="24">
        <v>8.0</v>
      </c>
    </row>
    <row r="55">
      <c r="A55" s="6" t="s">
        <v>1126</v>
      </c>
      <c r="B55" s="24">
        <v>6.0</v>
      </c>
    </row>
    <row r="56">
      <c r="A56" s="6" t="s">
        <v>1127</v>
      </c>
      <c r="B56" s="24">
        <v>136.0</v>
      </c>
    </row>
    <row r="57">
      <c r="A57" s="6" t="s">
        <v>1128</v>
      </c>
      <c r="B57" s="24">
        <v>2.0</v>
      </c>
    </row>
    <row r="58">
      <c r="A58" s="6" t="s">
        <v>9</v>
      </c>
      <c r="B58" s="6" t="s">
        <v>1129</v>
      </c>
    </row>
    <row r="59">
      <c r="A59" s="6" t="s">
        <v>1106</v>
      </c>
      <c r="B59" s="5">
        <v>46147.67976458333</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63"/>
    <col customWidth="1" min="2" max="2" width="46.13"/>
    <col customWidth="1" min="3" max="26" width="8.63"/>
  </cols>
  <sheetData>
    <row r="1">
      <c r="A1" s="25" t="s">
        <v>1130</v>
      </c>
      <c r="B1" s="26"/>
      <c r="C1" s="27"/>
      <c r="D1" s="27"/>
      <c r="E1" s="27"/>
      <c r="F1" s="27"/>
      <c r="G1" s="27"/>
      <c r="H1" s="27"/>
      <c r="I1" s="27"/>
      <c r="J1" s="27"/>
      <c r="K1" s="27"/>
      <c r="L1" s="27"/>
      <c r="M1" s="27"/>
      <c r="N1" s="27"/>
      <c r="O1" s="27"/>
      <c r="P1" s="27"/>
      <c r="Q1" s="27"/>
      <c r="R1" s="27"/>
      <c r="S1" s="27"/>
      <c r="T1" s="27"/>
      <c r="U1" s="27"/>
      <c r="V1" s="27"/>
      <c r="W1" s="27"/>
      <c r="X1" s="27"/>
      <c r="Y1" s="27"/>
      <c r="Z1" s="27"/>
    </row>
    <row r="2">
      <c r="A2" s="7" t="s">
        <v>1131</v>
      </c>
      <c r="B2" s="4">
        <f>COUNTA(CRM_GENERAL!A2:A1000)</f>
        <v>144</v>
      </c>
    </row>
    <row r="3">
      <c r="A3" s="7" t="s">
        <v>468</v>
      </c>
      <c r="B3" s="4" t="str">
        <f>COUNTIF(CRM_GENERAL!B:B,"Salas")</f>
        <v>#ERROR!</v>
      </c>
    </row>
    <row r="4">
      <c r="A4" s="7" t="s">
        <v>71</v>
      </c>
      <c r="B4" s="4" t="str">
        <f>COUNTIF(CRM_GENERAL!B:B,"Eventos/Bodas/Festejos")</f>
        <v>#ERROR!</v>
      </c>
    </row>
    <row r="5">
      <c r="A5" s="7" t="s">
        <v>1132</v>
      </c>
      <c r="B5" s="4" t="str">
        <f>COUNTIF(CRM_GENERAL!P:P,"Enviado")</f>
        <v>#ERROR!</v>
      </c>
    </row>
    <row r="6">
      <c r="A6" s="7" t="s">
        <v>1133</v>
      </c>
      <c r="B6" s="4" t="str">
        <f>COUNTIF(CRM_GENERAL!P:P,"Pendiente")</f>
        <v>#ERROR!</v>
      </c>
    </row>
    <row r="7">
      <c r="A7" s="7" t="s">
        <v>1134</v>
      </c>
      <c r="B7" s="4" t="str">
        <f>COUNTIF(CRM_GENERAL!T:T,"Sí")</f>
        <v>#ERROR!</v>
      </c>
    </row>
    <row r="8">
      <c r="A8" s="7" t="s">
        <v>1135</v>
      </c>
      <c r="B8" s="4" t="str">
        <f>COUNTIF(CRM_GENERAL!X:X,"Alto")</f>
        <v>#ERROR!</v>
      </c>
    </row>
    <row r="9">
      <c r="A9" s="7" t="s">
        <v>1136</v>
      </c>
      <c r="B9" s="4" t="str">
        <f>COUNTIF(CRM_GENERAL!X:X,"Medio")</f>
        <v>#ERROR!</v>
      </c>
    </row>
    <row r="10">
      <c r="A10" s="7" t="s">
        <v>1137</v>
      </c>
      <c r="B10" s="4" t="str">
        <f>COUNTIF(CRM_GENERAL!X:X,"No interesa")</f>
        <v>#ERROR!</v>
      </c>
    </row>
    <row r="11">
      <c r="A11" s="7" t="s">
        <v>1138</v>
      </c>
      <c r="B11" s="4" t="str">
        <f>COUNTIF(CRM_GENERAL!AC:AC,"&lt;&gt;")</f>
        <v>#ERROR!</v>
      </c>
    </row>
    <row r="12">
      <c r="A12" s="7" t="s">
        <v>1106</v>
      </c>
      <c r="B12" s="5">
        <v>46146.55201105324</v>
      </c>
    </row>
    <row r="13">
      <c r="A13" s="7" t="s">
        <v>1139</v>
      </c>
      <c r="B13" s="6" t="s">
        <v>1140</v>
      </c>
    </row>
    <row r="14">
      <c r="A14" s="2"/>
    </row>
    <row r="15">
      <c r="A15" s="2"/>
    </row>
    <row r="16">
      <c r="A16" s="2"/>
    </row>
    <row r="17">
      <c r="A17" s="2"/>
    </row>
    <row r="18">
      <c r="A18" s="2"/>
    </row>
    <row r="19">
      <c r="A19" s="2"/>
    </row>
    <row r="20">
      <c r="A20" s="2"/>
    </row>
    <row r="21" ht="15.75" customHeight="1">
      <c r="A21" s="2"/>
    </row>
    <row r="22" ht="15.75" customHeight="1">
      <c r="A22" s="2"/>
    </row>
    <row r="23" ht="15.75" customHeight="1">
      <c r="A23" s="2"/>
    </row>
    <row r="24" ht="15.75" customHeight="1">
      <c r="A24" s="2"/>
    </row>
    <row r="25" ht="15.75" customHeight="1">
      <c r="A25" s="2"/>
    </row>
    <row r="26" ht="15.75" customHeight="1">
      <c r="A26" s="2"/>
    </row>
    <row r="27" ht="15.75" customHeight="1">
      <c r="A27" s="2"/>
    </row>
    <row r="28" ht="15.75" customHeight="1">
      <c r="A28" s="2"/>
    </row>
    <row r="29" ht="15.75" customHeight="1">
      <c r="A29" s="2"/>
    </row>
    <row r="30" ht="15.75" customHeight="1">
      <c r="A30" s="2"/>
    </row>
    <row r="31" ht="15.75" customHeight="1">
      <c r="A31" s="2"/>
    </row>
    <row r="32" ht="15.75" customHeight="1">
      <c r="A32" s="2"/>
    </row>
    <row r="33" ht="15.75" customHeight="1">
      <c r="A33" s="2"/>
    </row>
    <row r="34" ht="15.75" customHeight="1">
      <c r="A34" s="2"/>
    </row>
    <row r="35" ht="15.75" customHeight="1">
      <c r="A35" s="2"/>
    </row>
    <row r="36" ht="15.75" customHeight="1">
      <c r="A36" s="2"/>
    </row>
    <row r="37" ht="15.75" customHeight="1">
      <c r="A37" s="2"/>
    </row>
    <row r="38" ht="15.75" customHeight="1">
      <c r="A38" s="2"/>
    </row>
    <row r="39" ht="15.75" customHeight="1">
      <c r="A39" s="2"/>
    </row>
    <row r="40" ht="15.75" customHeight="1">
      <c r="A40" s="2"/>
    </row>
    <row r="41" ht="15.75" customHeight="1">
      <c r="A41" s="2"/>
    </row>
    <row r="42" ht="15.75" customHeight="1">
      <c r="A42" s="2"/>
    </row>
    <row r="43" ht="15.75" customHeight="1">
      <c r="A43" s="2"/>
    </row>
    <row r="44" ht="15.75" customHeight="1">
      <c r="A44" s="2"/>
    </row>
    <row r="45" ht="15.75" customHeight="1">
      <c r="A45" s="2"/>
    </row>
    <row r="46" ht="15.75" customHeight="1">
      <c r="A46" s="2"/>
    </row>
    <row r="47" ht="15.75" customHeight="1">
      <c r="A47" s="2"/>
    </row>
    <row r="48" ht="15.75" customHeight="1">
      <c r="A48" s="2"/>
    </row>
    <row r="49" ht="15.75" customHeight="1">
      <c r="A49" s="2"/>
    </row>
    <row r="50" ht="15.75" customHeight="1">
      <c r="A50" s="2"/>
    </row>
    <row r="51" ht="15.75" customHeight="1">
      <c r="A51" s="2"/>
    </row>
    <row r="52" ht="15.75" customHeight="1">
      <c r="A52" s="2"/>
    </row>
    <row r="53" ht="15.75" customHeight="1">
      <c r="A53" s="2"/>
    </row>
    <row r="54" ht="15.75" customHeight="1">
      <c r="A54" s="2"/>
    </row>
    <row r="55" ht="15.75" customHeight="1">
      <c r="A55" s="2"/>
    </row>
    <row r="56" ht="15.75" customHeight="1">
      <c r="A56" s="2"/>
    </row>
    <row r="57" ht="15.75" customHeight="1">
      <c r="A57" s="2"/>
    </row>
    <row r="58" ht="15.75" customHeight="1">
      <c r="A58" s="2"/>
    </row>
    <row r="59" ht="15.75" customHeight="1">
      <c r="A59" s="2"/>
    </row>
    <row r="60" ht="15.75" customHeight="1">
      <c r="A60" s="2"/>
    </row>
    <row r="61" ht="15.75" customHeight="1">
      <c r="A61" s="2"/>
    </row>
    <row r="62" ht="15.75" customHeight="1">
      <c r="A62" s="2"/>
    </row>
    <row r="63" ht="15.75" customHeight="1">
      <c r="A63" s="2"/>
    </row>
    <row r="64" ht="15.75" customHeight="1">
      <c r="A64" s="2"/>
    </row>
    <row r="65" ht="15.75" customHeight="1">
      <c r="A65" s="2"/>
    </row>
    <row r="66" ht="15.75" customHeight="1">
      <c r="A66" s="2"/>
    </row>
    <row r="67" ht="15.75" customHeight="1">
      <c r="A67" s="2"/>
    </row>
    <row r="68" ht="15.75" customHeight="1">
      <c r="A68" s="2"/>
    </row>
    <row r="69" ht="15.75" customHeight="1">
      <c r="A69" s="2"/>
    </row>
    <row r="70" ht="15.75" customHeight="1">
      <c r="A70" s="2"/>
    </row>
    <row r="71" ht="15.75" customHeight="1">
      <c r="A71" s="2"/>
    </row>
    <row r="72" ht="15.75" customHeight="1">
      <c r="A72" s="2"/>
    </row>
    <row r="73" ht="15.75" customHeight="1">
      <c r="A73" s="2"/>
    </row>
    <row r="74" ht="15.75" customHeight="1">
      <c r="A74" s="2"/>
    </row>
    <row r="75" ht="15.75" customHeight="1">
      <c r="A75" s="2"/>
    </row>
    <row r="76" ht="15.75" customHeight="1">
      <c r="A76" s="2"/>
    </row>
    <row r="77" ht="15.75" customHeight="1">
      <c r="A77" s="2"/>
    </row>
    <row r="78" ht="15.75" customHeight="1">
      <c r="A78" s="2"/>
    </row>
    <row r="79" ht="15.75" customHeight="1">
      <c r="A79" s="2"/>
    </row>
    <row r="80" ht="15.75" customHeight="1">
      <c r="A80" s="2"/>
    </row>
    <row r="81" ht="15.75" customHeight="1">
      <c r="A81" s="2"/>
    </row>
    <row r="82" ht="15.75" customHeight="1">
      <c r="A82" s="2"/>
    </row>
    <row r="83" ht="15.75" customHeight="1">
      <c r="A83" s="2"/>
    </row>
    <row r="84" ht="15.75" customHeight="1">
      <c r="A84" s="2"/>
    </row>
    <row r="85" ht="15.75" customHeight="1">
      <c r="A85" s="2"/>
    </row>
    <row r="86" ht="15.75" customHeight="1">
      <c r="A86" s="2"/>
    </row>
    <row r="87" ht="15.75" customHeight="1">
      <c r="A87" s="2"/>
    </row>
    <row r="88" ht="15.75" customHeight="1">
      <c r="A88" s="2"/>
    </row>
    <row r="89" ht="15.75" customHeight="1">
      <c r="A89" s="2"/>
    </row>
    <row r="90" ht="15.75" customHeight="1">
      <c r="A90" s="2"/>
    </row>
    <row r="91" ht="15.75" customHeight="1">
      <c r="A91" s="2"/>
    </row>
    <row r="92" ht="15.75" customHeight="1">
      <c r="A92" s="2"/>
    </row>
    <row r="93" ht="15.75" customHeight="1">
      <c r="A93" s="2"/>
    </row>
    <row r="94" ht="15.75" customHeight="1">
      <c r="A94" s="2"/>
    </row>
    <row r="95" ht="15.75" customHeight="1">
      <c r="A95" s="2"/>
    </row>
    <row r="96" ht="15.75" customHeight="1">
      <c r="A96" s="2"/>
    </row>
    <row r="97" ht="15.75" customHeight="1">
      <c r="A97" s="2"/>
    </row>
    <row r="98" ht="15.75" customHeight="1">
      <c r="A98" s="2"/>
    </row>
    <row r="99" ht="15.75" customHeight="1">
      <c r="A99" s="2"/>
    </row>
    <row r="100" ht="15.75" customHeight="1">
      <c r="A100" s="2"/>
    </row>
    <row r="101" ht="15.75" customHeight="1">
      <c r="A101" s="2"/>
    </row>
    <row r="102" ht="15.75" customHeight="1">
      <c r="A102" s="2"/>
    </row>
    <row r="103" ht="15.75" customHeight="1">
      <c r="A103" s="2"/>
    </row>
    <row r="104" ht="15.75" customHeight="1">
      <c r="A104" s="2"/>
    </row>
    <row r="105" ht="15.75" customHeight="1">
      <c r="A105" s="2"/>
    </row>
    <row r="106" ht="15.75" customHeight="1">
      <c r="A106" s="2"/>
    </row>
    <row r="107" ht="15.75" customHeight="1">
      <c r="A107" s="2"/>
    </row>
    <row r="108" ht="15.75" customHeight="1">
      <c r="A108" s="2"/>
    </row>
    <row r="109" ht="15.75" customHeight="1">
      <c r="A109" s="2"/>
    </row>
    <row r="110" ht="15.75" customHeight="1">
      <c r="A110" s="2"/>
    </row>
    <row r="111" ht="15.75" customHeight="1">
      <c r="A111" s="2"/>
    </row>
    <row r="112" ht="15.75" customHeight="1">
      <c r="A112" s="2"/>
    </row>
    <row r="113" ht="15.75" customHeight="1">
      <c r="A113" s="2"/>
    </row>
    <row r="114" ht="15.75" customHeight="1">
      <c r="A114" s="2"/>
    </row>
    <row r="115" ht="15.75" customHeight="1">
      <c r="A115" s="2"/>
    </row>
    <row r="116" ht="15.75" customHeight="1">
      <c r="A116" s="2"/>
    </row>
    <row r="117" ht="15.75" customHeight="1">
      <c r="A117" s="2"/>
    </row>
    <row r="118" ht="15.75" customHeight="1">
      <c r="A118" s="2"/>
    </row>
    <row r="119" ht="15.75" customHeight="1">
      <c r="A119" s="2"/>
    </row>
    <row r="120" ht="15.75" customHeight="1">
      <c r="A120" s="2"/>
    </row>
    <row r="121" ht="15.75" customHeight="1">
      <c r="A121" s="2"/>
    </row>
    <row r="122" ht="15.75" customHeight="1">
      <c r="A122" s="2"/>
    </row>
    <row r="123" ht="15.75" customHeight="1">
      <c r="A123" s="2"/>
    </row>
    <row r="124" ht="15.75" customHeight="1">
      <c r="A124" s="2"/>
    </row>
    <row r="125" ht="15.75" customHeight="1">
      <c r="A125" s="2"/>
    </row>
    <row r="126" ht="15.75" customHeight="1">
      <c r="A126" s="2"/>
    </row>
    <row r="127" ht="15.75" customHeight="1">
      <c r="A127" s="2"/>
    </row>
    <row r="128" ht="15.75" customHeight="1">
      <c r="A128" s="2"/>
    </row>
    <row r="129" ht="15.75" customHeight="1">
      <c r="A129" s="2"/>
    </row>
    <row r="130" ht="15.75" customHeight="1">
      <c r="A130" s="2"/>
    </row>
    <row r="131" ht="15.75" customHeight="1">
      <c r="A131" s="2"/>
    </row>
    <row r="132" ht="15.75" customHeight="1">
      <c r="A132" s="2"/>
    </row>
    <row r="133" ht="15.75" customHeight="1">
      <c r="A133" s="2"/>
    </row>
    <row r="134" ht="15.75" customHeight="1">
      <c r="A134" s="2"/>
    </row>
    <row r="135" ht="15.75" customHeight="1">
      <c r="A135" s="2"/>
    </row>
    <row r="136" ht="15.75" customHeight="1">
      <c r="A136" s="2"/>
    </row>
    <row r="137" ht="15.75" customHeight="1">
      <c r="A137" s="2"/>
    </row>
    <row r="138" ht="15.75" customHeight="1">
      <c r="A138" s="2"/>
    </row>
    <row r="139" ht="15.75" customHeight="1">
      <c r="A139" s="2"/>
    </row>
    <row r="140" ht="15.75" customHeight="1">
      <c r="A140" s="2"/>
    </row>
    <row r="141" ht="15.75" customHeight="1">
      <c r="A141" s="2"/>
    </row>
    <row r="142" ht="15.75" customHeight="1">
      <c r="A142" s="2"/>
    </row>
    <row r="143" ht="15.75" customHeight="1">
      <c r="A143" s="2"/>
    </row>
    <row r="144" ht="15.75" customHeight="1">
      <c r="A144" s="2"/>
    </row>
    <row r="145" ht="15.75" customHeight="1">
      <c r="A145" s="2"/>
    </row>
    <row r="146" ht="15.75" customHeight="1">
      <c r="A146" s="2"/>
    </row>
    <row r="147" ht="15.75" customHeight="1">
      <c r="A147" s="2"/>
    </row>
    <row r="148" ht="15.75" customHeight="1">
      <c r="A148" s="2"/>
    </row>
    <row r="149" ht="15.75" customHeight="1">
      <c r="A149" s="2"/>
    </row>
    <row r="150" ht="15.75" customHeight="1">
      <c r="A150" s="2"/>
    </row>
    <row r="151" ht="15.75" customHeight="1">
      <c r="A151" s="2"/>
    </row>
    <row r="152" ht="15.75" customHeight="1">
      <c r="A152" s="2"/>
    </row>
    <row r="153" ht="15.75" customHeight="1">
      <c r="A153" s="2"/>
    </row>
    <row r="154" ht="15.75" customHeight="1">
      <c r="A154" s="2"/>
    </row>
    <row r="155" ht="15.75" customHeight="1">
      <c r="A155" s="2"/>
    </row>
    <row r="156" ht="15.75" customHeight="1">
      <c r="A156" s="2"/>
    </row>
    <row r="157" ht="15.75" customHeight="1">
      <c r="A157" s="2"/>
    </row>
    <row r="158" ht="15.75" customHeight="1">
      <c r="A158" s="2"/>
    </row>
    <row r="159" ht="15.75" customHeight="1">
      <c r="A159" s="2"/>
    </row>
    <row r="160" ht="15.75" customHeight="1">
      <c r="A160" s="2"/>
    </row>
    <row r="161" ht="15.75" customHeight="1">
      <c r="A161" s="2"/>
    </row>
    <row r="162" ht="15.75" customHeight="1">
      <c r="A162" s="2"/>
    </row>
    <row r="163" ht="15.75" customHeight="1">
      <c r="A163" s="2"/>
    </row>
    <row r="164" ht="15.75" customHeight="1">
      <c r="A164" s="2"/>
    </row>
    <row r="165" ht="15.75" customHeight="1">
      <c r="A165" s="2"/>
    </row>
    <row r="166" ht="15.75" customHeight="1">
      <c r="A166" s="2"/>
    </row>
    <row r="167" ht="15.75" customHeight="1">
      <c r="A167" s="2"/>
    </row>
    <row r="168" ht="15.75" customHeight="1">
      <c r="A168" s="2"/>
    </row>
    <row r="169" ht="15.75" customHeight="1">
      <c r="A169" s="2"/>
    </row>
    <row r="170" ht="15.75" customHeight="1">
      <c r="A170" s="2"/>
    </row>
    <row r="171" ht="15.75" customHeight="1">
      <c r="A171" s="2"/>
    </row>
    <row r="172" ht="15.75" customHeight="1">
      <c r="A172" s="2"/>
    </row>
    <row r="173" ht="15.75" customHeight="1">
      <c r="A173" s="2"/>
    </row>
    <row r="174" ht="15.75" customHeight="1">
      <c r="A174" s="2"/>
    </row>
    <row r="175" ht="15.75" customHeight="1">
      <c r="A175" s="2"/>
    </row>
    <row r="176" ht="15.75" customHeight="1">
      <c r="A176" s="2"/>
    </row>
    <row r="177" ht="15.75" customHeight="1">
      <c r="A177" s="2"/>
    </row>
    <row r="178" ht="15.75" customHeight="1">
      <c r="A178" s="2"/>
    </row>
    <row r="179" ht="15.75" customHeight="1">
      <c r="A179" s="2"/>
    </row>
    <row r="180" ht="15.75" customHeight="1">
      <c r="A180" s="2"/>
    </row>
    <row r="181" ht="15.75" customHeight="1">
      <c r="A181" s="2"/>
    </row>
    <row r="182" ht="15.75" customHeight="1">
      <c r="A182" s="2"/>
    </row>
    <row r="183" ht="15.75" customHeight="1">
      <c r="A183" s="2"/>
    </row>
    <row r="184" ht="15.75" customHeight="1">
      <c r="A184" s="2"/>
    </row>
    <row r="185" ht="15.75" customHeight="1">
      <c r="A185" s="2"/>
    </row>
    <row r="186" ht="15.75" customHeight="1">
      <c r="A186" s="2"/>
    </row>
    <row r="187" ht="15.75" customHeight="1">
      <c r="A187" s="2"/>
    </row>
    <row r="188" ht="15.75" customHeight="1">
      <c r="A188" s="2"/>
    </row>
    <row r="189" ht="15.75" customHeight="1">
      <c r="A189" s="2"/>
    </row>
    <row r="190" ht="15.75" customHeight="1">
      <c r="A190" s="2"/>
    </row>
    <row r="191" ht="15.75" customHeight="1">
      <c r="A191" s="2"/>
    </row>
    <row r="192" ht="15.75" customHeight="1">
      <c r="A192" s="2"/>
    </row>
    <row r="193" ht="15.75" customHeight="1">
      <c r="A193" s="2"/>
    </row>
    <row r="194" ht="15.75" customHeight="1">
      <c r="A194" s="2"/>
    </row>
    <row r="195" ht="15.75" customHeight="1">
      <c r="A195" s="2"/>
    </row>
    <row r="196" ht="15.75" customHeight="1">
      <c r="A196" s="2"/>
    </row>
    <row r="197" ht="15.75" customHeight="1">
      <c r="A197" s="2"/>
    </row>
    <row r="198" ht="15.75" customHeight="1">
      <c r="A198" s="2"/>
    </row>
    <row r="199" ht="15.75" customHeight="1">
      <c r="A199" s="2"/>
    </row>
    <row r="200" ht="15.75" customHeight="1">
      <c r="A200" s="2"/>
    </row>
    <row r="201" ht="15.75" customHeight="1">
      <c r="A201" s="2"/>
    </row>
    <row r="202" ht="15.75" customHeight="1">
      <c r="A202" s="2"/>
    </row>
    <row r="203" ht="15.75" customHeight="1">
      <c r="A203" s="2"/>
    </row>
    <row r="204" ht="15.75" customHeight="1">
      <c r="A204" s="2"/>
    </row>
    <row r="205" ht="15.75" customHeight="1">
      <c r="A205" s="2"/>
    </row>
    <row r="206" ht="15.75" customHeight="1">
      <c r="A206" s="2"/>
    </row>
    <row r="207" ht="15.75" customHeight="1">
      <c r="A207" s="2"/>
    </row>
    <row r="208" ht="15.75" customHeight="1">
      <c r="A208" s="2"/>
    </row>
    <row r="209" ht="15.75" customHeight="1">
      <c r="A209" s="2"/>
    </row>
    <row r="210" ht="15.75" customHeight="1">
      <c r="A210" s="2"/>
    </row>
    <row r="211" ht="15.75" customHeight="1">
      <c r="A211" s="2"/>
    </row>
    <row r="212" ht="15.75" customHeight="1">
      <c r="A212" s="2"/>
    </row>
    <row r="213" ht="15.75" customHeight="1">
      <c r="A213" s="2"/>
    </row>
    <row r="214" ht="15.75" customHeight="1">
      <c r="A214" s="2"/>
    </row>
    <row r="215" ht="15.75" customHeight="1">
      <c r="A215" s="2"/>
    </row>
    <row r="216" ht="15.75" customHeight="1">
      <c r="A216" s="2"/>
    </row>
    <row r="217" ht="15.75" customHeight="1">
      <c r="A217" s="2"/>
    </row>
    <row r="218" ht="15.75" customHeight="1">
      <c r="A218" s="2"/>
    </row>
    <row r="219" ht="15.75" customHeight="1">
      <c r="A219" s="2"/>
    </row>
    <row r="220" ht="15.75" customHeight="1">
      <c r="A220" s="2"/>
    </row>
    <row r="221" ht="15.75" customHeight="1">
      <c r="A221" s="2"/>
    </row>
    <row r="222" ht="15.75" customHeight="1">
      <c r="A222" s="2"/>
    </row>
    <row r="223" ht="15.75" customHeight="1">
      <c r="A223" s="2"/>
    </row>
    <row r="224" ht="15.75" customHeight="1">
      <c r="A224" s="2"/>
    </row>
    <row r="225" ht="15.75" customHeight="1">
      <c r="A225" s="2"/>
    </row>
    <row r="226" ht="15.75" customHeight="1">
      <c r="A226" s="2"/>
    </row>
    <row r="227" ht="15.75" customHeight="1">
      <c r="A227" s="2"/>
    </row>
    <row r="228" ht="15.75" customHeight="1">
      <c r="A228" s="2"/>
    </row>
    <row r="229" ht="15.75" customHeight="1">
      <c r="A229" s="2"/>
    </row>
    <row r="230" ht="15.75" customHeight="1">
      <c r="A230" s="2"/>
    </row>
    <row r="231" ht="15.75" customHeight="1">
      <c r="A231" s="2"/>
    </row>
    <row r="232" ht="15.75" customHeight="1">
      <c r="A232" s="2"/>
    </row>
    <row r="233" ht="15.75" customHeight="1">
      <c r="A233" s="2"/>
    </row>
    <row r="234" ht="15.75" customHeight="1">
      <c r="A234" s="2"/>
    </row>
    <row r="235" ht="15.75" customHeight="1">
      <c r="A235" s="2"/>
    </row>
    <row r="236" ht="15.75" customHeight="1">
      <c r="A236" s="2"/>
    </row>
    <row r="237" ht="15.75" customHeight="1">
      <c r="A237" s="2"/>
    </row>
    <row r="238" ht="15.75" customHeight="1">
      <c r="A238" s="2"/>
    </row>
    <row r="239" ht="15.75" customHeight="1">
      <c r="A239" s="2"/>
    </row>
    <row r="240" ht="15.75" customHeight="1">
      <c r="A240" s="2"/>
    </row>
    <row r="241" ht="15.75" customHeight="1">
      <c r="A241" s="2"/>
    </row>
    <row r="242" ht="15.75" customHeight="1">
      <c r="A242" s="2"/>
    </row>
    <row r="243" ht="15.75" customHeight="1">
      <c r="A243" s="2"/>
    </row>
    <row r="244" ht="15.75" customHeight="1">
      <c r="A244" s="2"/>
    </row>
    <row r="245" ht="15.75" customHeight="1">
      <c r="A245" s="2"/>
    </row>
    <row r="246" ht="15.75" customHeight="1">
      <c r="A246" s="2"/>
    </row>
    <row r="247" ht="15.75" customHeight="1">
      <c r="A247" s="2"/>
    </row>
    <row r="248" ht="15.75" customHeight="1">
      <c r="A248" s="2"/>
    </row>
    <row r="249" ht="15.75" customHeight="1">
      <c r="A249" s="2"/>
    </row>
    <row r="250" ht="15.75" customHeight="1">
      <c r="A250" s="2"/>
    </row>
    <row r="251" ht="15.75" customHeight="1">
      <c r="A251" s="2"/>
    </row>
    <row r="252" ht="15.75" customHeight="1">
      <c r="A252" s="2"/>
    </row>
    <row r="253" ht="15.75" customHeight="1">
      <c r="A253" s="2"/>
    </row>
    <row r="254" ht="15.75" customHeight="1">
      <c r="A254" s="2"/>
    </row>
    <row r="255" ht="15.75" customHeight="1">
      <c r="A255" s="2"/>
    </row>
    <row r="256" ht="15.75" customHeight="1">
      <c r="A256" s="2"/>
    </row>
    <row r="257" ht="15.75" customHeight="1">
      <c r="A257" s="2"/>
    </row>
    <row r="258" ht="15.75" customHeight="1">
      <c r="A258" s="2"/>
    </row>
    <row r="259" ht="15.75" customHeight="1">
      <c r="A259" s="2"/>
    </row>
    <row r="260" ht="15.75" customHeight="1">
      <c r="A260" s="2"/>
    </row>
    <row r="261" ht="15.75" customHeight="1">
      <c r="A261" s="2"/>
    </row>
    <row r="262" ht="15.75" customHeight="1">
      <c r="A262" s="2"/>
    </row>
    <row r="263" ht="15.75" customHeight="1">
      <c r="A263" s="2"/>
    </row>
    <row r="264" ht="15.75" customHeight="1">
      <c r="A264" s="2"/>
    </row>
    <row r="265" ht="15.75" customHeight="1">
      <c r="A265" s="2"/>
    </row>
    <row r="266" ht="15.75" customHeight="1">
      <c r="A266" s="2"/>
    </row>
    <row r="267" ht="15.75" customHeight="1">
      <c r="A267" s="2"/>
    </row>
    <row r="268" ht="15.75" customHeight="1">
      <c r="A268" s="2"/>
    </row>
    <row r="269" ht="15.75" customHeight="1">
      <c r="A269" s="2"/>
    </row>
    <row r="270" ht="15.75" customHeight="1">
      <c r="A270" s="2"/>
    </row>
    <row r="271" ht="15.75" customHeight="1">
      <c r="A271" s="2"/>
    </row>
    <row r="272" ht="15.75" customHeight="1">
      <c r="A272" s="2"/>
    </row>
    <row r="273" ht="15.75" customHeight="1">
      <c r="A273" s="2"/>
    </row>
    <row r="274" ht="15.75" customHeight="1">
      <c r="A274" s="2"/>
    </row>
    <row r="275" ht="15.75" customHeight="1">
      <c r="A275" s="2"/>
    </row>
    <row r="276" ht="15.75" customHeight="1">
      <c r="A276" s="2"/>
    </row>
    <row r="277" ht="15.75" customHeight="1">
      <c r="A277" s="2"/>
    </row>
    <row r="278" ht="15.75" customHeight="1">
      <c r="A278" s="2"/>
    </row>
    <row r="279" ht="15.75" customHeight="1">
      <c r="A279" s="2"/>
    </row>
    <row r="280" ht="15.75" customHeight="1">
      <c r="A280" s="2"/>
    </row>
    <row r="281" ht="15.75" customHeight="1">
      <c r="A281" s="2"/>
    </row>
    <row r="282" ht="15.75" customHeight="1">
      <c r="A282" s="2"/>
    </row>
    <row r="283" ht="15.75" customHeight="1">
      <c r="A283" s="2"/>
    </row>
    <row r="284" ht="15.75" customHeight="1">
      <c r="A284" s="2"/>
    </row>
    <row r="285" ht="15.75" customHeight="1">
      <c r="A285" s="2"/>
    </row>
    <row r="286" ht="15.75" customHeight="1">
      <c r="A286" s="2"/>
    </row>
    <row r="287" ht="15.75" customHeight="1">
      <c r="A287" s="2"/>
    </row>
    <row r="288" ht="15.75" customHeight="1">
      <c r="A288" s="2"/>
    </row>
    <row r="289" ht="15.75" customHeight="1">
      <c r="A289" s="2"/>
    </row>
    <row r="290" ht="15.75" customHeight="1">
      <c r="A290" s="2"/>
    </row>
    <row r="291" ht="15.75" customHeight="1">
      <c r="A291" s="2"/>
    </row>
    <row r="292" ht="15.75" customHeight="1">
      <c r="A292" s="2"/>
    </row>
    <row r="293" ht="15.75" customHeight="1">
      <c r="A293" s="2"/>
    </row>
    <row r="294" ht="15.75" customHeight="1">
      <c r="A294" s="2"/>
    </row>
    <row r="295" ht="15.75" customHeight="1">
      <c r="A295" s="2"/>
    </row>
    <row r="296" ht="15.75" customHeight="1">
      <c r="A296" s="2"/>
    </row>
    <row r="297" ht="15.75" customHeight="1">
      <c r="A297" s="2"/>
    </row>
    <row r="298" ht="15.75" customHeight="1">
      <c r="A298" s="2"/>
    </row>
    <row r="299" ht="15.75" customHeight="1">
      <c r="A299" s="2"/>
    </row>
    <row r="300" ht="15.75" customHeight="1">
      <c r="A300" s="2"/>
    </row>
    <row r="301" ht="15.75" customHeight="1">
      <c r="A301" s="2"/>
    </row>
    <row r="302" ht="15.75" customHeight="1">
      <c r="A302" s="2"/>
    </row>
    <row r="303" ht="15.75" customHeight="1">
      <c r="A303" s="2"/>
    </row>
    <row r="304" ht="15.75" customHeight="1">
      <c r="A304" s="2"/>
    </row>
    <row r="305" ht="15.75" customHeight="1">
      <c r="A305" s="2"/>
    </row>
    <row r="306" ht="15.75" customHeight="1">
      <c r="A306" s="2"/>
    </row>
    <row r="307" ht="15.75" customHeight="1">
      <c r="A307" s="2"/>
    </row>
    <row r="308" ht="15.75" customHeight="1">
      <c r="A308" s="2"/>
    </row>
    <row r="309" ht="15.75" customHeight="1">
      <c r="A309" s="2"/>
    </row>
    <row r="310" ht="15.75" customHeight="1">
      <c r="A310" s="2"/>
    </row>
    <row r="311" ht="15.75" customHeight="1">
      <c r="A311" s="2"/>
    </row>
    <row r="312" ht="15.75" customHeight="1">
      <c r="A312" s="2"/>
    </row>
    <row r="313" ht="15.75" customHeight="1">
      <c r="A313" s="2"/>
    </row>
    <row r="314" ht="15.75" customHeight="1">
      <c r="A314" s="2"/>
    </row>
    <row r="315" ht="15.75" customHeight="1">
      <c r="A315" s="2"/>
    </row>
    <row r="316" ht="15.75" customHeight="1">
      <c r="A316" s="2"/>
    </row>
    <row r="317" ht="15.75" customHeight="1">
      <c r="A317" s="2"/>
    </row>
    <row r="318" ht="15.75" customHeight="1">
      <c r="A318" s="2"/>
    </row>
    <row r="319" ht="15.75" customHeight="1">
      <c r="A319" s="2"/>
    </row>
    <row r="320" ht="15.75" customHeight="1">
      <c r="A320" s="2"/>
    </row>
    <row r="321" ht="15.75" customHeight="1">
      <c r="A321" s="2"/>
    </row>
    <row r="322" ht="15.75" customHeight="1">
      <c r="A322" s="2"/>
    </row>
    <row r="323" ht="15.75" customHeight="1">
      <c r="A323" s="2"/>
    </row>
    <row r="324" ht="15.75" customHeight="1">
      <c r="A324" s="2"/>
    </row>
    <row r="325" ht="15.75" customHeight="1">
      <c r="A325" s="2"/>
    </row>
    <row r="326" ht="15.75" customHeight="1">
      <c r="A326" s="2"/>
    </row>
    <row r="327" ht="15.75" customHeight="1">
      <c r="A327" s="2"/>
    </row>
    <row r="328" ht="15.75" customHeight="1">
      <c r="A328" s="2"/>
    </row>
    <row r="329" ht="15.75" customHeight="1">
      <c r="A329" s="2"/>
    </row>
    <row r="330" ht="15.75" customHeight="1">
      <c r="A330" s="2"/>
    </row>
    <row r="331" ht="15.75" customHeight="1">
      <c r="A331" s="2"/>
    </row>
    <row r="332" ht="15.75" customHeight="1">
      <c r="A332" s="2"/>
    </row>
    <row r="333" ht="15.75" customHeight="1">
      <c r="A333" s="2"/>
    </row>
    <row r="334" ht="15.75" customHeight="1">
      <c r="A334" s="2"/>
    </row>
    <row r="335" ht="15.75" customHeight="1">
      <c r="A335" s="2"/>
    </row>
    <row r="336" ht="15.75" customHeight="1">
      <c r="A336" s="2"/>
    </row>
    <row r="337" ht="15.75" customHeight="1">
      <c r="A337" s="2"/>
    </row>
    <row r="338" ht="15.75" customHeight="1">
      <c r="A338" s="2"/>
    </row>
    <row r="339" ht="15.75" customHeight="1">
      <c r="A339" s="2"/>
    </row>
    <row r="340" ht="15.75" customHeight="1">
      <c r="A340" s="2"/>
    </row>
    <row r="341" ht="15.75" customHeight="1">
      <c r="A341" s="2"/>
    </row>
    <row r="342" ht="15.75" customHeight="1">
      <c r="A342" s="2"/>
    </row>
    <row r="343" ht="15.75" customHeight="1">
      <c r="A343" s="2"/>
    </row>
    <row r="344" ht="15.75" customHeight="1">
      <c r="A344" s="2"/>
    </row>
    <row r="345" ht="15.75" customHeight="1">
      <c r="A345" s="2"/>
    </row>
    <row r="346" ht="15.75" customHeight="1">
      <c r="A346" s="2"/>
    </row>
    <row r="347" ht="15.75" customHeight="1">
      <c r="A347" s="2"/>
    </row>
    <row r="348" ht="15.75" customHeight="1">
      <c r="A348" s="2"/>
    </row>
    <row r="349" ht="15.75" customHeight="1">
      <c r="A349" s="2"/>
    </row>
    <row r="350" ht="15.75" customHeight="1">
      <c r="A350" s="2"/>
    </row>
    <row r="351" ht="15.75" customHeight="1">
      <c r="A351" s="2"/>
    </row>
    <row r="352" ht="15.75" customHeight="1">
      <c r="A352" s="2"/>
    </row>
    <row r="353" ht="15.75" customHeight="1">
      <c r="A353" s="2"/>
    </row>
    <row r="354" ht="15.75" customHeight="1">
      <c r="A354" s="2"/>
    </row>
    <row r="355" ht="15.75" customHeight="1">
      <c r="A355" s="2"/>
    </row>
    <row r="356" ht="15.75" customHeight="1">
      <c r="A356" s="2"/>
    </row>
    <row r="357" ht="15.75" customHeight="1">
      <c r="A357" s="2"/>
    </row>
    <row r="358" ht="15.75" customHeight="1">
      <c r="A358" s="2"/>
    </row>
    <row r="359" ht="15.75" customHeight="1">
      <c r="A359" s="2"/>
    </row>
    <row r="360" ht="15.75" customHeight="1">
      <c r="A360" s="2"/>
    </row>
    <row r="361" ht="15.75" customHeight="1">
      <c r="A361" s="2"/>
    </row>
    <row r="362" ht="15.75" customHeight="1">
      <c r="A362" s="2"/>
    </row>
    <row r="363" ht="15.75" customHeight="1">
      <c r="A363" s="2"/>
    </row>
    <row r="364" ht="15.75" customHeight="1">
      <c r="A364" s="2"/>
    </row>
    <row r="365" ht="15.75" customHeight="1">
      <c r="A365" s="2"/>
    </row>
    <row r="366" ht="15.75" customHeight="1">
      <c r="A366" s="2"/>
    </row>
    <row r="367" ht="15.75" customHeight="1">
      <c r="A367" s="2"/>
    </row>
    <row r="368" ht="15.75" customHeight="1">
      <c r="A368" s="2"/>
    </row>
    <row r="369" ht="15.75" customHeight="1">
      <c r="A369" s="2"/>
    </row>
    <row r="370" ht="15.75" customHeight="1">
      <c r="A370" s="2"/>
    </row>
    <row r="371" ht="15.75" customHeight="1">
      <c r="A371" s="2"/>
    </row>
    <row r="372" ht="15.75" customHeight="1">
      <c r="A372" s="2"/>
    </row>
    <row r="373" ht="15.75" customHeight="1">
      <c r="A373" s="2"/>
    </row>
    <row r="374" ht="15.75" customHeight="1">
      <c r="A374" s="2"/>
    </row>
    <row r="375" ht="15.75" customHeight="1">
      <c r="A375" s="2"/>
    </row>
    <row r="376" ht="15.75" customHeight="1">
      <c r="A376" s="2"/>
    </row>
    <row r="377" ht="15.75" customHeight="1">
      <c r="A377" s="2"/>
    </row>
    <row r="378" ht="15.75" customHeight="1">
      <c r="A378" s="2"/>
    </row>
    <row r="379" ht="15.75" customHeight="1">
      <c r="A379" s="2"/>
    </row>
    <row r="380" ht="15.75" customHeight="1">
      <c r="A380" s="2"/>
    </row>
    <row r="381" ht="15.75" customHeight="1">
      <c r="A381" s="2"/>
    </row>
    <row r="382" ht="15.75" customHeight="1">
      <c r="A382" s="2"/>
    </row>
    <row r="383" ht="15.75" customHeight="1">
      <c r="A383" s="2"/>
    </row>
    <row r="384" ht="15.75" customHeight="1">
      <c r="A384" s="2"/>
    </row>
    <row r="385" ht="15.75" customHeight="1">
      <c r="A385" s="2"/>
    </row>
    <row r="386" ht="15.75" customHeight="1">
      <c r="A386" s="2"/>
    </row>
    <row r="387" ht="15.75" customHeight="1">
      <c r="A387" s="2"/>
    </row>
    <row r="388" ht="15.75" customHeight="1">
      <c r="A388" s="2"/>
    </row>
    <row r="389" ht="15.75" customHeight="1">
      <c r="A389" s="2"/>
    </row>
    <row r="390" ht="15.75" customHeight="1">
      <c r="A390" s="2"/>
    </row>
    <row r="391" ht="15.75" customHeight="1">
      <c r="A391" s="2"/>
    </row>
    <row r="392" ht="15.75" customHeight="1">
      <c r="A392" s="2"/>
    </row>
    <row r="393" ht="15.75" customHeight="1">
      <c r="A393" s="2"/>
    </row>
    <row r="394" ht="15.75" customHeight="1">
      <c r="A394" s="2"/>
    </row>
    <row r="395" ht="15.75" customHeight="1">
      <c r="A395" s="2"/>
    </row>
    <row r="396" ht="15.75" customHeight="1">
      <c r="A396" s="2"/>
    </row>
    <row r="397" ht="15.75" customHeight="1">
      <c r="A397" s="2"/>
    </row>
    <row r="398" ht="15.75" customHeight="1">
      <c r="A398" s="2"/>
    </row>
    <row r="399" ht="15.75" customHeight="1">
      <c r="A399" s="2"/>
    </row>
    <row r="400" ht="15.75" customHeight="1">
      <c r="A400" s="2"/>
    </row>
    <row r="401" ht="15.75" customHeight="1">
      <c r="A401" s="2"/>
    </row>
    <row r="402" ht="15.75" customHeight="1">
      <c r="A402" s="2"/>
    </row>
    <row r="403" ht="15.75" customHeight="1">
      <c r="A403" s="2"/>
    </row>
    <row r="404" ht="15.75" customHeight="1">
      <c r="A404" s="2"/>
    </row>
    <row r="405" ht="15.75" customHeight="1">
      <c r="A405" s="2"/>
    </row>
    <row r="406" ht="15.75" customHeight="1">
      <c r="A406" s="2"/>
    </row>
    <row r="407" ht="15.75" customHeight="1">
      <c r="A407" s="2"/>
    </row>
    <row r="408" ht="15.75" customHeight="1">
      <c r="A408" s="2"/>
    </row>
    <row r="409" ht="15.75" customHeight="1">
      <c r="A409" s="2"/>
    </row>
    <row r="410" ht="15.75" customHeight="1">
      <c r="A410" s="2"/>
    </row>
    <row r="411" ht="15.75" customHeight="1">
      <c r="A411" s="2"/>
    </row>
    <row r="412" ht="15.75" customHeight="1">
      <c r="A412" s="2"/>
    </row>
    <row r="413" ht="15.75" customHeight="1">
      <c r="A413" s="2"/>
    </row>
    <row r="414" ht="15.75" customHeight="1">
      <c r="A414" s="2"/>
    </row>
    <row r="415" ht="15.75" customHeight="1">
      <c r="A415" s="2"/>
    </row>
    <row r="416" ht="15.75" customHeight="1">
      <c r="A416" s="2"/>
    </row>
    <row r="417" ht="15.75" customHeight="1">
      <c r="A417" s="2"/>
    </row>
    <row r="418" ht="15.75" customHeight="1">
      <c r="A418" s="2"/>
    </row>
    <row r="419" ht="15.75" customHeight="1">
      <c r="A419" s="2"/>
    </row>
    <row r="420" ht="15.75" customHeight="1">
      <c r="A420" s="2"/>
    </row>
    <row r="421" ht="15.75" customHeight="1">
      <c r="A421" s="2"/>
    </row>
    <row r="422" ht="15.75" customHeight="1">
      <c r="A422" s="2"/>
    </row>
    <row r="423" ht="15.75" customHeight="1">
      <c r="A423" s="2"/>
    </row>
    <row r="424" ht="15.75" customHeight="1">
      <c r="A424" s="2"/>
    </row>
    <row r="425" ht="15.75" customHeight="1">
      <c r="A425" s="2"/>
    </row>
    <row r="426" ht="15.75" customHeight="1">
      <c r="A426" s="2"/>
    </row>
    <row r="427" ht="15.75" customHeight="1">
      <c r="A427" s="2"/>
    </row>
    <row r="428" ht="15.75" customHeight="1">
      <c r="A428" s="2"/>
    </row>
    <row r="429" ht="15.75" customHeight="1">
      <c r="A429" s="2"/>
    </row>
    <row r="430" ht="15.75" customHeight="1">
      <c r="A430" s="2"/>
    </row>
    <row r="431" ht="15.75" customHeight="1">
      <c r="A431" s="2"/>
    </row>
    <row r="432" ht="15.75" customHeight="1">
      <c r="A432" s="2"/>
    </row>
    <row r="433" ht="15.75" customHeight="1">
      <c r="A433" s="2"/>
    </row>
    <row r="434" ht="15.75" customHeight="1">
      <c r="A434" s="2"/>
    </row>
    <row r="435" ht="15.75" customHeight="1">
      <c r="A435" s="2"/>
    </row>
    <row r="436" ht="15.75" customHeight="1">
      <c r="A436" s="2"/>
    </row>
    <row r="437" ht="15.75" customHeight="1">
      <c r="A437" s="2"/>
    </row>
    <row r="438" ht="15.75" customHeight="1">
      <c r="A438" s="2"/>
    </row>
    <row r="439" ht="15.75" customHeight="1">
      <c r="A439" s="2"/>
    </row>
    <row r="440" ht="15.75" customHeight="1">
      <c r="A440" s="2"/>
    </row>
    <row r="441" ht="15.75" customHeight="1">
      <c r="A441" s="2"/>
    </row>
    <row r="442" ht="15.75" customHeight="1">
      <c r="A442" s="2"/>
    </row>
    <row r="443" ht="15.75" customHeight="1">
      <c r="A443" s="2"/>
    </row>
    <row r="444" ht="15.75" customHeight="1">
      <c r="A444" s="2"/>
    </row>
    <row r="445" ht="15.75" customHeight="1">
      <c r="A445" s="2"/>
    </row>
    <row r="446" ht="15.75" customHeight="1">
      <c r="A446" s="2"/>
    </row>
    <row r="447" ht="15.75" customHeight="1">
      <c r="A447" s="2"/>
    </row>
    <row r="448" ht="15.75" customHeight="1">
      <c r="A448" s="2"/>
    </row>
    <row r="449" ht="15.75" customHeight="1">
      <c r="A449" s="2"/>
    </row>
    <row r="450" ht="15.75" customHeight="1">
      <c r="A450" s="2"/>
    </row>
    <row r="451" ht="15.75" customHeight="1">
      <c r="A451" s="2"/>
    </row>
    <row r="452" ht="15.75" customHeight="1">
      <c r="A452" s="2"/>
    </row>
    <row r="453" ht="15.75" customHeight="1">
      <c r="A453" s="2"/>
    </row>
    <row r="454" ht="15.75" customHeight="1">
      <c r="A454" s="2"/>
    </row>
    <row r="455" ht="15.75" customHeight="1">
      <c r="A455" s="2"/>
    </row>
    <row r="456" ht="15.75" customHeight="1">
      <c r="A456" s="2"/>
    </row>
    <row r="457" ht="15.75" customHeight="1">
      <c r="A457" s="2"/>
    </row>
    <row r="458" ht="15.75" customHeight="1">
      <c r="A458" s="2"/>
    </row>
    <row r="459" ht="15.75" customHeight="1">
      <c r="A459" s="2"/>
    </row>
    <row r="460" ht="15.75" customHeight="1">
      <c r="A460" s="2"/>
    </row>
    <row r="461" ht="15.75" customHeight="1">
      <c r="A461" s="2"/>
    </row>
    <row r="462" ht="15.75" customHeight="1">
      <c r="A462" s="2"/>
    </row>
    <row r="463" ht="15.75" customHeight="1">
      <c r="A463" s="2"/>
    </row>
    <row r="464" ht="15.75" customHeight="1">
      <c r="A464" s="2"/>
    </row>
    <row r="465" ht="15.75" customHeight="1">
      <c r="A465" s="2"/>
    </row>
    <row r="466" ht="15.75" customHeight="1">
      <c r="A466" s="2"/>
    </row>
    <row r="467" ht="15.75" customHeight="1">
      <c r="A467" s="2"/>
    </row>
    <row r="468" ht="15.75" customHeight="1">
      <c r="A468" s="2"/>
    </row>
    <row r="469" ht="15.75" customHeight="1">
      <c r="A469" s="2"/>
    </row>
    <row r="470" ht="15.75" customHeight="1">
      <c r="A470" s="2"/>
    </row>
    <row r="471" ht="15.75" customHeight="1">
      <c r="A471" s="2"/>
    </row>
    <row r="472" ht="15.75" customHeight="1">
      <c r="A472" s="2"/>
    </row>
    <row r="473" ht="15.75" customHeight="1">
      <c r="A473" s="2"/>
    </row>
    <row r="474" ht="15.75" customHeight="1">
      <c r="A474" s="2"/>
    </row>
    <row r="475" ht="15.75" customHeight="1">
      <c r="A475" s="2"/>
    </row>
    <row r="476" ht="15.75" customHeight="1">
      <c r="A476" s="2"/>
    </row>
    <row r="477" ht="15.75" customHeight="1">
      <c r="A477" s="2"/>
    </row>
    <row r="478" ht="15.75" customHeight="1">
      <c r="A478" s="2"/>
    </row>
    <row r="479" ht="15.75" customHeight="1">
      <c r="A479" s="2"/>
    </row>
    <row r="480" ht="15.75" customHeight="1">
      <c r="A480" s="2"/>
    </row>
    <row r="481" ht="15.75" customHeight="1">
      <c r="A481" s="2"/>
    </row>
    <row r="482" ht="15.75" customHeight="1">
      <c r="A482" s="2"/>
    </row>
    <row r="483" ht="15.75" customHeight="1">
      <c r="A483" s="2"/>
    </row>
    <row r="484" ht="15.75" customHeight="1">
      <c r="A484" s="2"/>
    </row>
    <row r="485" ht="15.75" customHeight="1">
      <c r="A485" s="2"/>
    </row>
    <row r="486" ht="15.75" customHeight="1">
      <c r="A486" s="2"/>
    </row>
    <row r="487" ht="15.75" customHeight="1">
      <c r="A487" s="2"/>
    </row>
    <row r="488" ht="15.75" customHeight="1">
      <c r="A488" s="2"/>
    </row>
    <row r="489" ht="15.75" customHeight="1">
      <c r="A489" s="2"/>
    </row>
    <row r="490" ht="15.75" customHeight="1">
      <c r="A490" s="2"/>
    </row>
    <row r="491" ht="15.75" customHeight="1">
      <c r="A491" s="2"/>
    </row>
    <row r="492" ht="15.75" customHeight="1">
      <c r="A492" s="2"/>
    </row>
    <row r="493" ht="15.75" customHeight="1">
      <c r="A493" s="2"/>
    </row>
    <row r="494" ht="15.75" customHeight="1">
      <c r="A494" s="2"/>
    </row>
    <row r="495" ht="15.75" customHeight="1">
      <c r="A495" s="2"/>
    </row>
    <row r="496" ht="15.75" customHeight="1">
      <c r="A496" s="2"/>
    </row>
    <row r="497" ht="15.75" customHeight="1">
      <c r="A497" s="2"/>
    </row>
    <row r="498" ht="15.75" customHeight="1">
      <c r="A498" s="2"/>
    </row>
    <row r="499" ht="15.75" customHeight="1">
      <c r="A499" s="2"/>
    </row>
    <row r="500" ht="15.75" customHeight="1">
      <c r="A500" s="2"/>
    </row>
    <row r="501" ht="15.75" customHeight="1">
      <c r="A501" s="2"/>
    </row>
    <row r="502" ht="15.75" customHeight="1">
      <c r="A502" s="2"/>
    </row>
    <row r="503" ht="15.75" customHeight="1">
      <c r="A503" s="2"/>
    </row>
    <row r="504" ht="15.75" customHeight="1">
      <c r="A504" s="2"/>
    </row>
    <row r="505" ht="15.75" customHeight="1">
      <c r="A505" s="2"/>
    </row>
    <row r="506" ht="15.75" customHeight="1">
      <c r="A506" s="2"/>
    </row>
    <row r="507" ht="15.75" customHeight="1">
      <c r="A507" s="2"/>
    </row>
    <row r="508" ht="15.75" customHeight="1">
      <c r="A508" s="2"/>
    </row>
    <row r="509" ht="15.75" customHeight="1">
      <c r="A509" s="2"/>
    </row>
    <row r="510" ht="15.75" customHeight="1">
      <c r="A510" s="2"/>
    </row>
    <row r="511" ht="15.75" customHeight="1">
      <c r="A511" s="2"/>
    </row>
    <row r="512" ht="15.75" customHeight="1">
      <c r="A512" s="2"/>
    </row>
    <row r="513" ht="15.75" customHeight="1">
      <c r="A513" s="2"/>
    </row>
    <row r="514" ht="15.75" customHeight="1">
      <c r="A514" s="2"/>
    </row>
    <row r="515" ht="15.75" customHeight="1">
      <c r="A515" s="2"/>
    </row>
    <row r="516" ht="15.75" customHeight="1">
      <c r="A516" s="2"/>
    </row>
    <row r="517" ht="15.75" customHeight="1">
      <c r="A517" s="2"/>
    </row>
    <row r="518" ht="15.75" customHeight="1">
      <c r="A518" s="2"/>
    </row>
    <row r="519" ht="15.75" customHeight="1">
      <c r="A519" s="2"/>
    </row>
    <row r="520" ht="15.75" customHeight="1">
      <c r="A520" s="2"/>
    </row>
    <row r="521" ht="15.75" customHeight="1">
      <c r="A521" s="2"/>
    </row>
    <row r="522" ht="15.75" customHeight="1">
      <c r="A522" s="2"/>
    </row>
    <row r="523" ht="15.75" customHeight="1">
      <c r="A523" s="2"/>
    </row>
    <row r="524" ht="15.75" customHeight="1">
      <c r="A524" s="2"/>
    </row>
    <row r="525" ht="15.75" customHeight="1">
      <c r="A525" s="2"/>
    </row>
    <row r="526" ht="15.75" customHeight="1">
      <c r="A526" s="2"/>
    </row>
    <row r="527" ht="15.75" customHeight="1">
      <c r="A527" s="2"/>
    </row>
    <row r="528" ht="15.75" customHeight="1">
      <c r="A528" s="2"/>
    </row>
    <row r="529" ht="15.75" customHeight="1">
      <c r="A529" s="2"/>
    </row>
    <row r="530" ht="15.75" customHeight="1">
      <c r="A530" s="2"/>
    </row>
    <row r="531" ht="15.75" customHeight="1">
      <c r="A531" s="2"/>
    </row>
    <row r="532" ht="15.75" customHeight="1">
      <c r="A532" s="2"/>
    </row>
    <row r="533" ht="15.75" customHeight="1">
      <c r="A533" s="2"/>
    </row>
    <row r="534" ht="15.75" customHeight="1">
      <c r="A534" s="2"/>
    </row>
    <row r="535" ht="15.75" customHeight="1">
      <c r="A535" s="2"/>
    </row>
    <row r="536" ht="15.75" customHeight="1">
      <c r="A536" s="2"/>
    </row>
    <row r="537" ht="15.75" customHeight="1">
      <c r="A537" s="2"/>
    </row>
    <row r="538" ht="15.75" customHeight="1">
      <c r="A538" s="2"/>
    </row>
    <row r="539" ht="15.75" customHeight="1">
      <c r="A539" s="2"/>
    </row>
    <row r="540" ht="15.75" customHeight="1">
      <c r="A540" s="2"/>
    </row>
    <row r="541" ht="15.75" customHeight="1">
      <c r="A541" s="2"/>
    </row>
    <row r="542" ht="15.75" customHeight="1">
      <c r="A542" s="2"/>
    </row>
    <row r="543" ht="15.75" customHeight="1">
      <c r="A543" s="2"/>
    </row>
    <row r="544" ht="15.75" customHeight="1">
      <c r="A544" s="2"/>
    </row>
    <row r="545" ht="15.75" customHeight="1">
      <c r="A545" s="2"/>
    </row>
    <row r="546" ht="15.75" customHeight="1">
      <c r="A546" s="2"/>
    </row>
    <row r="547" ht="15.75" customHeight="1">
      <c r="A547" s="2"/>
    </row>
    <row r="548" ht="15.75" customHeight="1">
      <c r="A548" s="2"/>
    </row>
    <row r="549" ht="15.75" customHeight="1">
      <c r="A549" s="2"/>
    </row>
    <row r="550" ht="15.75" customHeight="1">
      <c r="A550" s="2"/>
    </row>
    <row r="551" ht="15.75" customHeight="1">
      <c r="A551" s="2"/>
    </row>
    <row r="552" ht="15.75" customHeight="1">
      <c r="A552" s="2"/>
    </row>
    <row r="553" ht="15.75" customHeight="1">
      <c r="A553" s="2"/>
    </row>
    <row r="554" ht="15.75" customHeight="1">
      <c r="A554" s="2"/>
    </row>
    <row r="555" ht="15.75" customHeight="1">
      <c r="A555" s="2"/>
    </row>
    <row r="556" ht="15.75" customHeight="1">
      <c r="A556" s="2"/>
    </row>
    <row r="557" ht="15.75" customHeight="1">
      <c r="A557" s="2"/>
    </row>
    <row r="558" ht="15.75" customHeight="1">
      <c r="A558" s="2"/>
    </row>
    <row r="559" ht="15.75" customHeight="1">
      <c r="A559" s="2"/>
    </row>
    <row r="560" ht="15.75" customHeight="1">
      <c r="A560" s="2"/>
    </row>
    <row r="561" ht="15.75" customHeight="1">
      <c r="A561" s="2"/>
    </row>
    <row r="562" ht="15.75" customHeight="1">
      <c r="A562" s="2"/>
    </row>
    <row r="563" ht="15.75" customHeight="1">
      <c r="A563" s="2"/>
    </row>
    <row r="564" ht="15.75" customHeight="1">
      <c r="A564" s="2"/>
    </row>
    <row r="565" ht="15.75" customHeight="1">
      <c r="A565" s="2"/>
    </row>
    <row r="566" ht="15.75" customHeight="1">
      <c r="A566" s="2"/>
    </row>
    <row r="567" ht="15.75" customHeight="1">
      <c r="A567" s="2"/>
    </row>
    <row r="568" ht="15.75" customHeight="1">
      <c r="A568" s="2"/>
    </row>
    <row r="569" ht="15.75" customHeight="1">
      <c r="A569" s="2"/>
    </row>
    <row r="570" ht="15.75" customHeight="1">
      <c r="A570" s="2"/>
    </row>
    <row r="571" ht="15.75" customHeight="1">
      <c r="A571" s="2"/>
    </row>
    <row r="572" ht="15.75" customHeight="1">
      <c r="A572" s="2"/>
    </row>
    <row r="573" ht="15.75" customHeight="1">
      <c r="A573" s="2"/>
    </row>
    <row r="574" ht="15.75" customHeight="1">
      <c r="A574" s="2"/>
    </row>
    <row r="575" ht="15.75" customHeight="1">
      <c r="A575" s="2"/>
    </row>
    <row r="576" ht="15.75" customHeight="1">
      <c r="A576" s="2"/>
    </row>
    <row r="577" ht="15.75" customHeight="1">
      <c r="A577" s="2"/>
    </row>
    <row r="578" ht="15.75" customHeight="1">
      <c r="A578" s="2"/>
    </row>
    <row r="579" ht="15.75" customHeight="1">
      <c r="A579" s="2"/>
    </row>
    <row r="580" ht="15.75" customHeight="1">
      <c r="A580" s="2"/>
    </row>
    <row r="581" ht="15.75" customHeight="1">
      <c r="A581" s="2"/>
    </row>
    <row r="582" ht="15.75" customHeight="1">
      <c r="A582" s="2"/>
    </row>
    <row r="583" ht="15.75" customHeight="1">
      <c r="A583" s="2"/>
    </row>
    <row r="584" ht="15.75" customHeight="1">
      <c r="A584" s="2"/>
    </row>
    <row r="585" ht="15.75" customHeight="1">
      <c r="A585" s="2"/>
    </row>
    <row r="586" ht="15.75" customHeight="1">
      <c r="A586" s="2"/>
    </row>
    <row r="587" ht="15.75" customHeight="1">
      <c r="A587" s="2"/>
    </row>
    <row r="588" ht="15.75" customHeight="1">
      <c r="A588" s="2"/>
    </row>
    <row r="589" ht="15.75" customHeight="1">
      <c r="A589" s="2"/>
    </row>
    <row r="590" ht="15.75" customHeight="1">
      <c r="A590" s="2"/>
    </row>
    <row r="591" ht="15.75" customHeight="1">
      <c r="A591" s="2"/>
    </row>
    <row r="592" ht="15.75" customHeight="1">
      <c r="A592" s="2"/>
    </row>
    <row r="593" ht="15.75" customHeight="1">
      <c r="A593" s="2"/>
    </row>
    <row r="594" ht="15.75" customHeight="1">
      <c r="A594" s="2"/>
    </row>
    <row r="595" ht="15.75" customHeight="1">
      <c r="A595" s="2"/>
    </row>
    <row r="596" ht="15.75" customHeight="1">
      <c r="A596" s="2"/>
    </row>
    <row r="597" ht="15.75" customHeight="1">
      <c r="A597" s="2"/>
    </row>
    <row r="598" ht="15.75" customHeight="1">
      <c r="A598" s="2"/>
    </row>
    <row r="599" ht="15.75" customHeight="1">
      <c r="A599" s="2"/>
    </row>
    <row r="600" ht="15.75" customHeight="1">
      <c r="A600" s="2"/>
    </row>
    <row r="601" ht="15.75" customHeight="1">
      <c r="A601" s="2"/>
    </row>
    <row r="602" ht="15.75" customHeight="1">
      <c r="A602" s="2"/>
    </row>
    <row r="603" ht="15.75" customHeight="1">
      <c r="A603" s="2"/>
    </row>
    <row r="604" ht="15.75" customHeight="1">
      <c r="A604" s="2"/>
    </row>
    <row r="605" ht="15.75" customHeight="1">
      <c r="A605" s="2"/>
    </row>
    <row r="606" ht="15.75" customHeight="1">
      <c r="A606" s="2"/>
    </row>
    <row r="607" ht="15.75" customHeight="1">
      <c r="A607" s="2"/>
    </row>
    <row r="608" ht="15.75" customHeight="1">
      <c r="A608" s="2"/>
    </row>
    <row r="609" ht="15.75" customHeight="1">
      <c r="A609" s="2"/>
    </row>
    <row r="610" ht="15.75" customHeight="1">
      <c r="A610" s="2"/>
    </row>
    <row r="611" ht="15.75" customHeight="1">
      <c r="A611" s="2"/>
    </row>
    <row r="612" ht="15.75" customHeight="1">
      <c r="A612" s="2"/>
    </row>
    <row r="613" ht="15.75" customHeight="1">
      <c r="A613" s="2"/>
    </row>
    <row r="614" ht="15.75" customHeight="1">
      <c r="A614" s="2"/>
    </row>
    <row r="615" ht="15.75" customHeight="1">
      <c r="A615" s="2"/>
    </row>
    <row r="616" ht="15.75" customHeight="1">
      <c r="A616" s="2"/>
    </row>
    <row r="617" ht="15.75" customHeight="1">
      <c r="A617" s="2"/>
    </row>
    <row r="618" ht="15.75" customHeight="1">
      <c r="A618" s="2"/>
    </row>
    <row r="619" ht="15.75" customHeight="1">
      <c r="A619" s="2"/>
    </row>
    <row r="620" ht="15.75" customHeight="1">
      <c r="A620" s="2"/>
    </row>
    <row r="621" ht="15.75" customHeight="1">
      <c r="A621" s="2"/>
    </row>
    <row r="622" ht="15.75" customHeight="1">
      <c r="A622" s="2"/>
    </row>
    <row r="623" ht="15.75" customHeight="1">
      <c r="A623" s="2"/>
    </row>
    <row r="624" ht="15.75" customHeight="1">
      <c r="A624" s="2"/>
    </row>
    <row r="625" ht="15.75" customHeight="1">
      <c r="A625" s="2"/>
    </row>
    <row r="626" ht="15.75" customHeight="1">
      <c r="A626" s="2"/>
    </row>
    <row r="627" ht="15.75" customHeight="1">
      <c r="A627" s="2"/>
    </row>
    <row r="628" ht="15.75" customHeight="1">
      <c r="A628" s="2"/>
    </row>
    <row r="629" ht="15.75" customHeight="1">
      <c r="A629" s="2"/>
    </row>
    <row r="630" ht="15.75" customHeight="1">
      <c r="A630" s="2"/>
    </row>
    <row r="631" ht="15.75" customHeight="1">
      <c r="A631" s="2"/>
    </row>
    <row r="632" ht="15.75" customHeight="1">
      <c r="A632" s="2"/>
    </row>
    <row r="633" ht="15.75" customHeight="1">
      <c r="A633" s="2"/>
    </row>
    <row r="634" ht="15.75" customHeight="1">
      <c r="A634" s="2"/>
    </row>
    <row r="635" ht="15.75" customHeight="1">
      <c r="A635" s="2"/>
    </row>
    <row r="636" ht="15.75" customHeight="1">
      <c r="A636" s="2"/>
    </row>
    <row r="637" ht="15.75" customHeight="1">
      <c r="A637" s="2"/>
    </row>
    <row r="638" ht="15.75" customHeight="1">
      <c r="A638" s="2"/>
    </row>
    <row r="639" ht="15.75" customHeight="1">
      <c r="A639" s="2"/>
    </row>
    <row r="640" ht="15.75" customHeight="1">
      <c r="A640" s="2"/>
    </row>
    <row r="641" ht="15.75" customHeight="1">
      <c r="A641" s="2"/>
    </row>
    <row r="642" ht="15.75" customHeight="1">
      <c r="A642" s="2"/>
    </row>
    <row r="643" ht="15.75" customHeight="1">
      <c r="A643" s="2"/>
    </row>
    <row r="644" ht="15.75" customHeight="1">
      <c r="A644" s="2"/>
    </row>
    <row r="645" ht="15.75" customHeight="1">
      <c r="A645" s="2"/>
    </row>
    <row r="646" ht="15.75" customHeight="1">
      <c r="A646" s="2"/>
    </row>
    <row r="647" ht="15.75" customHeight="1">
      <c r="A647" s="2"/>
    </row>
    <row r="648" ht="15.75" customHeight="1">
      <c r="A648" s="2"/>
    </row>
    <row r="649" ht="15.75" customHeight="1">
      <c r="A649" s="2"/>
    </row>
    <row r="650" ht="15.75" customHeight="1">
      <c r="A650" s="2"/>
    </row>
    <row r="651" ht="15.75" customHeight="1">
      <c r="A651" s="2"/>
    </row>
    <row r="652" ht="15.75" customHeight="1">
      <c r="A652" s="2"/>
    </row>
    <row r="653" ht="15.75" customHeight="1">
      <c r="A653" s="2"/>
    </row>
    <row r="654" ht="15.75" customHeight="1">
      <c r="A654" s="2"/>
    </row>
    <row r="655" ht="15.75" customHeight="1">
      <c r="A655" s="2"/>
    </row>
    <row r="656" ht="15.75" customHeight="1">
      <c r="A656" s="2"/>
    </row>
    <row r="657" ht="15.75" customHeight="1">
      <c r="A657" s="2"/>
    </row>
    <row r="658" ht="15.75" customHeight="1">
      <c r="A658" s="2"/>
    </row>
    <row r="659" ht="15.75" customHeight="1">
      <c r="A659" s="2"/>
    </row>
    <row r="660" ht="15.75" customHeight="1">
      <c r="A660" s="2"/>
    </row>
    <row r="661" ht="15.75" customHeight="1">
      <c r="A661" s="2"/>
    </row>
    <row r="662" ht="15.75" customHeight="1">
      <c r="A662" s="2"/>
    </row>
    <row r="663" ht="15.75" customHeight="1">
      <c r="A663" s="2"/>
    </row>
    <row r="664" ht="15.75" customHeight="1">
      <c r="A664" s="2"/>
    </row>
    <row r="665" ht="15.75" customHeight="1">
      <c r="A665" s="2"/>
    </row>
    <row r="666" ht="15.75" customHeight="1">
      <c r="A666" s="2"/>
    </row>
    <row r="667" ht="15.75" customHeight="1">
      <c r="A667" s="2"/>
    </row>
    <row r="668" ht="15.75" customHeight="1">
      <c r="A668" s="2"/>
    </row>
    <row r="669" ht="15.75" customHeight="1">
      <c r="A669" s="2"/>
    </row>
    <row r="670" ht="15.75" customHeight="1">
      <c r="A670" s="2"/>
    </row>
    <row r="671" ht="15.75" customHeight="1">
      <c r="A671" s="2"/>
    </row>
    <row r="672" ht="15.75" customHeight="1">
      <c r="A672" s="2"/>
    </row>
    <row r="673" ht="15.75" customHeight="1">
      <c r="A673" s="2"/>
    </row>
    <row r="674" ht="15.75" customHeight="1">
      <c r="A674" s="2"/>
    </row>
    <row r="675" ht="15.75" customHeight="1">
      <c r="A675" s="2"/>
    </row>
    <row r="676" ht="15.75" customHeight="1">
      <c r="A676" s="2"/>
    </row>
    <row r="677" ht="15.75" customHeight="1">
      <c r="A677" s="2"/>
    </row>
    <row r="678" ht="15.75" customHeight="1">
      <c r="A678" s="2"/>
    </row>
    <row r="679" ht="15.75" customHeight="1">
      <c r="A679" s="2"/>
    </row>
    <row r="680" ht="15.75" customHeight="1">
      <c r="A680" s="2"/>
    </row>
    <row r="681" ht="15.75" customHeight="1">
      <c r="A681" s="2"/>
    </row>
    <row r="682" ht="15.75" customHeight="1">
      <c r="A682" s="2"/>
    </row>
    <row r="683" ht="15.75" customHeight="1">
      <c r="A683" s="2"/>
    </row>
    <row r="684" ht="15.75" customHeight="1">
      <c r="A684" s="2"/>
    </row>
    <row r="685" ht="15.75" customHeight="1">
      <c r="A685" s="2"/>
    </row>
    <row r="686" ht="15.75" customHeight="1">
      <c r="A686" s="2"/>
    </row>
    <row r="687" ht="15.75" customHeight="1">
      <c r="A687" s="2"/>
    </row>
    <row r="688" ht="15.75" customHeight="1">
      <c r="A688" s="2"/>
    </row>
    <row r="689" ht="15.75" customHeight="1">
      <c r="A689" s="2"/>
    </row>
    <row r="690" ht="15.75" customHeight="1">
      <c r="A690" s="2"/>
    </row>
    <row r="691" ht="15.75" customHeight="1">
      <c r="A691" s="2"/>
    </row>
    <row r="692" ht="15.75" customHeight="1">
      <c r="A692" s="2"/>
    </row>
    <row r="693" ht="15.75" customHeight="1">
      <c r="A693" s="2"/>
    </row>
    <row r="694" ht="15.75" customHeight="1">
      <c r="A694" s="2"/>
    </row>
    <row r="695" ht="15.75" customHeight="1">
      <c r="A695" s="2"/>
    </row>
    <row r="696" ht="15.75" customHeight="1">
      <c r="A696" s="2"/>
    </row>
    <row r="697" ht="15.75" customHeight="1">
      <c r="A697" s="2"/>
    </row>
    <row r="698" ht="15.75" customHeight="1">
      <c r="A698" s="2"/>
    </row>
    <row r="699" ht="15.75" customHeight="1">
      <c r="A699" s="2"/>
    </row>
    <row r="700" ht="15.75" customHeight="1">
      <c r="A700" s="2"/>
    </row>
    <row r="701" ht="15.75" customHeight="1">
      <c r="A701" s="2"/>
    </row>
    <row r="702" ht="15.75" customHeight="1">
      <c r="A702" s="2"/>
    </row>
    <row r="703" ht="15.75" customHeight="1">
      <c r="A703" s="2"/>
    </row>
    <row r="704" ht="15.75" customHeight="1">
      <c r="A704" s="2"/>
    </row>
    <row r="705" ht="15.75" customHeight="1">
      <c r="A705" s="2"/>
    </row>
    <row r="706" ht="15.75" customHeight="1">
      <c r="A706" s="2"/>
    </row>
    <row r="707" ht="15.75" customHeight="1">
      <c r="A707" s="2"/>
    </row>
    <row r="708" ht="15.75" customHeight="1">
      <c r="A708" s="2"/>
    </row>
    <row r="709" ht="15.75" customHeight="1">
      <c r="A709" s="2"/>
    </row>
    <row r="710" ht="15.75" customHeight="1">
      <c r="A710" s="2"/>
    </row>
    <row r="711" ht="15.75" customHeight="1">
      <c r="A711" s="2"/>
    </row>
    <row r="712" ht="15.75" customHeight="1">
      <c r="A712" s="2"/>
    </row>
    <row r="713" ht="15.75" customHeight="1">
      <c r="A713" s="2"/>
    </row>
    <row r="714" ht="15.75" customHeight="1">
      <c r="A714" s="2"/>
    </row>
    <row r="715" ht="15.75" customHeight="1">
      <c r="A715" s="2"/>
    </row>
    <row r="716" ht="15.75" customHeight="1">
      <c r="A716" s="2"/>
    </row>
    <row r="717" ht="15.75" customHeight="1">
      <c r="A717" s="2"/>
    </row>
    <row r="718" ht="15.75" customHeight="1">
      <c r="A718" s="2"/>
    </row>
    <row r="719" ht="15.75" customHeight="1">
      <c r="A719" s="2"/>
    </row>
    <row r="720" ht="15.75" customHeight="1">
      <c r="A720" s="2"/>
    </row>
    <row r="721" ht="15.75" customHeight="1">
      <c r="A721" s="2"/>
    </row>
    <row r="722" ht="15.75" customHeight="1">
      <c r="A722" s="2"/>
    </row>
    <row r="723" ht="15.75" customHeight="1">
      <c r="A723" s="2"/>
    </row>
    <row r="724" ht="15.75" customHeight="1">
      <c r="A724" s="2"/>
    </row>
    <row r="725" ht="15.75" customHeight="1">
      <c r="A725" s="2"/>
    </row>
    <row r="726" ht="15.75" customHeight="1">
      <c r="A726" s="2"/>
    </row>
    <row r="727" ht="15.75" customHeight="1">
      <c r="A727" s="2"/>
    </row>
    <row r="728" ht="15.75" customHeight="1">
      <c r="A728" s="2"/>
    </row>
    <row r="729" ht="15.75" customHeight="1">
      <c r="A729" s="2"/>
    </row>
    <row r="730" ht="15.75" customHeight="1">
      <c r="A730" s="2"/>
    </row>
    <row r="731" ht="15.75" customHeight="1">
      <c r="A731" s="2"/>
    </row>
    <row r="732" ht="15.75" customHeight="1">
      <c r="A732" s="2"/>
    </row>
    <row r="733" ht="15.75" customHeight="1">
      <c r="A733" s="2"/>
    </row>
    <row r="734" ht="15.75" customHeight="1">
      <c r="A734" s="2"/>
    </row>
    <row r="735" ht="15.75" customHeight="1">
      <c r="A735" s="2"/>
    </row>
    <row r="736" ht="15.75" customHeight="1">
      <c r="A736" s="2"/>
    </row>
    <row r="737" ht="15.75" customHeight="1">
      <c r="A737" s="2"/>
    </row>
    <row r="738" ht="15.75" customHeight="1">
      <c r="A738" s="2"/>
    </row>
    <row r="739" ht="15.75" customHeight="1">
      <c r="A739" s="2"/>
    </row>
    <row r="740" ht="15.75" customHeight="1">
      <c r="A740" s="2"/>
    </row>
    <row r="741" ht="15.75" customHeight="1">
      <c r="A741" s="2"/>
    </row>
    <row r="742" ht="15.75" customHeight="1">
      <c r="A742" s="2"/>
    </row>
    <row r="743" ht="15.75" customHeight="1">
      <c r="A743" s="2"/>
    </row>
    <row r="744" ht="15.75" customHeight="1">
      <c r="A744" s="2"/>
    </row>
    <row r="745" ht="15.75" customHeight="1">
      <c r="A745" s="2"/>
    </row>
    <row r="746" ht="15.75" customHeight="1">
      <c r="A746" s="2"/>
    </row>
    <row r="747" ht="15.75" customHeight="1">
      <c r="A747" s="2"/>
    </row>
    <row r="748" ht="15.75" customHeight="1">
      <c r="A748" s="2"/>
    </row>
    <row r="749" ht="15.75" customHeight="1">
      <c r="A749" s="2"/>
    </row>
    <row r="750" ht="15.75" customHeight="1">
      <c r="A750" s="2"/>
    </row>
    <row r="751" ht="15.75" customHeight="1">
      <c r="A751" s="2"/>
    </row>
    <row r="752" ht="15.75" customHeight="1">
      <c r="A752" s="2"/>
    </row>
    <row r="753" ht="15.75" customHeight="1">
      <c r="A753" s="2"/>
    </row>
    <row r="754" ht="15.75" customHeight="1">
      <c r="A754" s="2"/>
    </row>
    <row r="755" ht="15.75" customHeight="1">
      <c r="A755" s="2"/>
    </row>
    <row r="756" ht="15.75" customHeight="1">
      <c r="A756" s="2"/>
    </row>
    <row r="757" ht="15.75" customHeight="1">
      <c r="A757" s="2"/>
    </row>
    <row r="758" ht="15.75" customHeight="1">
      <c r="A758" s="2"/>
    </row>
    <row r="759" ht="15.75" customHeight="1">
      <c r="A759" s="2"/>
    </row>
    <row r="760" ht="15.75" customHeight="1">
      <c r="A760" s="2"/>
    </row>
    <row r="761" ht="15.75" customHeight="1">
      <c r="A761" s="2"/>
    </row>
    <row r="762" ht="15.75" customHeight="1">
      <c r="A762" s="2"/>
    </row>
    <row r="763" ht="15.75" customHeight="1">
      <c r="A763" s="2"/>
    </row>
    <row r="764" ht="15.75" customHeight="1">
      <c r="A764" s="2"/>
    </row>
    <row r="765" ht="15.75" customHeight="1">
      <c r="A765" s="2"/>
    </row>
    <row r="766" ht="15.75" customHeight="1">
      <c r="A766" s="2"/>
    </row>
    <row r="767" ht="15.75" customHeight="1">
      <c r="A767" s="2"/>
    </row>
    <row r="768" ht="15.75" customHeight="1">
      <c r="A768" s="2"/>
    </row>
    <row r="769" ht="15.75" customHeight="1">
      <c r="A769" s="2"/>
    </row>
    <row r="770" ht="15.75" customHeight="1">
      <c r="A770" s="2"/>
    </row>
    <row r="771" ht="15.75" customHeight="1">
      <c r="A771" s="2"/>
    </row>
    <row r="772" ht="15.75" customHeight="1">
      <c r="A772" s="2"/>
    </row>
    <row r="773" ht="15.75" customHeight="1">
      <c r="A773" s="2"/>
    </row>
    <row r="774" ht="15.75" customHeight="1">
      <c r="A774" s="2"/>
    </row>
    <row r="775" ht="15.75" customHeight="1">
      <c r="A775" s="2"/>
    </row>
    <row r="776" ht="15.75" customHeight="1">
      <c r="A776" s="2"/>
    </row>
    <row r="777" ht="15.75" customHeight="1">
      <c r="A777" s="2"/>
    </row>
    <row r="778" ht="15.75" customHeight="1">
      <c r="A778" s="2"/>
    </row>
    <row r="779" ht="15.75" customHeight="1">
      <c r="A779" s="2"/>
    </row>
    <row r="780" ht="15.75" customHeight="1">
      <c r="A780" s="2"/>
    </row>
    <row r="781" ht="15.75" customHeight="1">
      <c r="A781" s="2"/>
    </row>
    <row r="782" ht="15.75" customHeight="1">
      <c r="A782" s="2"/>
    </row>
    <row r="783" ht="15.75" customHeight="1">
      <c r="A783" s="2"/>
    </row>
    <row r="784" ht="15.75" customHeight="1">
      <c r="A784" s="2"/>
    </row>
    <row r="785" ht="15.75" customHeight="1">
      <c r="A785" s="2"/>
    </row>
    <row r="786" ht="15.75" customHeight="1">
      <c r="A786" s="2"/>
    </row>
    <row r="787" ht="15.75" customHeight="1">
      <c r="A787" s="2"/>
    </row>
    <row r="788" ht="15.75" customHeight="1">
      <c r="A788" s="2"/>
    </row>
    <row r="789" ht="15.75" customHeight="1">
      <c r="A789" s="2"/>
    </row>
    <row r="790" ht="15.75" customHeight="1">
      <c r="A790" s="2"/>
    </row>
    <row r="791" ht="15.75" customHeight="1">
      <c r="A791" s="2"/>
    </row>
    <row r="792" ht="15.75" customHeight="1">
      <c r="A792" s="2"/>
    </row>
    <row r="793" ht="15.75" customHeight="1">
      <c r="A793" s="2"/>
    </row>
    <row r="794" ht="15.75" customHeight="1">
      <c r="A794" s="2"/>
    </row>
    <row r="795" ht="15.75" customHeight="1">
      <c r="A795" s="2"/>
    </row>
    <row r="796" ht="15.75" customHeight="1">
      <c r="A796" s="2"/>
    </row>
    <row r="797" ht="15.75" customHeight="1">
      <c r="A797" s="2"/>
    </row>
    <row r="798" ht="15.75" customHeight="1">
      <c r="A798" s="2"/>
    </row>
    <row r="799" ht="15.75" customHeight="1">
      <c r="A799" s="2"/>
    </row>
    <row r="800" ht="15.75" customHeight="1">
      <c r="A800" s="2"/>
    </row>
    <row r="801" ht="15.75" customHeight="1">
      <c r="A801" s="2"/>
    </row>
    <row r="802" ht="15.75" customHeight="1">
      <c r="A802" s="2"/>
    </row>
    <row r="803" ht="15.75" customHeight="1">
      <c r="A803" s="2"/>
    </row>
    <row r="804" ht="15.75" customHeight="1">
      <c r="A804" s="2"/>
    </row>
    <row r="805" ht="15.75" customHeight="1">
      <c r="A805" s="2"/>
    </row>
    <row r="806" ht="15.75" customHeight="1">
      <c r="A806" s="2"/>
    </row>
    <row r="807" ht="15.75" customHeight="1">
      <c r="A807" s="2"/>
    </row>
    <row r="808" ht="15.75" customHeight="1">
      <c r="A808" s="2"/>
    </row>
    <row r="809" ht="15.75" customHeight="1">
      <c r="A809" s="2"/>
    </row>
    <row r="810" ht="15.75" customHeight="1">
      <c r="A810" s="2"/>
    </row>
    <row r="811" ht="15.75" customHeight="1">
      <c r="A811" s="2"/>
    </row>
    <row r="812" ht="15.75" customHeight="1">
      <c r="A812" s="2"/>
    </row>
    <row r="813" ht="15.75" customHeight="1">
      <c r="A813" s="2"/>
    </row>
    <row r="814" ht="15.75" customHeight="1">
      <c r="A814" s="2"/>
    </row>
    <row r="815" ht="15.75" customHeight="1">
      <c r="A815" s="2"/>
    </row>
    <row r="816" ht="15.75" customHeight="1">
      <c r="A816" s="2"/>
    </row>
    <row r="817" ht="15.75" customHeight="1">
      <c r="A817" s="2"/>
    </row>
    <row r="818" ht="15.75" customHeight="1">
      <c r="A818" s="2"/>
    </row>
    <row r="819" ht="15.75" customHeight="1">
      <c r="A819" s="2"/>
    </row>
    <row r="820" ht="15.75" customHeight="1">
      <c r="A820" s="2"/>
    </row>
    <row r="821" ht="15.75" customHeight="1">
      <c r="A821" s="2"/>
    </row>
    <row r="822" ht="15.75" customHeight="1">
      <c r="A822" s="2"/>
    </row>
    <row r="823" ht="15.75" customHeight="1">
      <c r="A823" s="2"/>
    </row>
    <row r="824" ht="15.75" customHeight="1">
      <c r="A824" s="2"/>
    </row>
    <row r="825" ht="15.75" customHeight="1">
      <c r="A825" s="2"/>
    </row>
    <row r="826" ht="15.75" customHeight="1">
      <c r="A826" s="2"/>
    </row>
    <row r="827" ht="15.75" customHeight="1">
      <c r="A827" s="2"/>
    </row>
    <row r="828" ht="15.75" customHeight="1">
      <c r="A828" s="2"/>
    </row>
    <row r="829" ht="15.75" customHeight="1">
      <c r="A829" s="2"/>
    </row>
    <row r="830" ht="15.75" customHeight="1">
      <c r="A830" s="2"/>
    </row>
    <row r="831" ht="15.75" customHeight="1">
      <c r="A831" s="2"/>
    </row>
    <row r="832" ht="15.75" customHeight="1">
      <c r="A832" s="2"/>
    </row>
    <row r="833" ht="15.75" customHeight="1">
      <c r="A833" s="2"/>
    </row>
    <row r="834" ht="15.75" customHeight="1">
      <c r="A834" s="2"/>
    </row>
    <row r="835" ht="15.75" customHeight="1">
      <c r="A835" s="2"/>
    </row>
    <row r="836" ht="15.75" customHeight="1">
      <c r="A836" s="2"/>
    </row>
    <row r="837" ht="15.75" customHeight="1">
      <c r="A837" s="2"/>
    </row>
    <row r="838" ht="15.75" customHeight="1">
      <c r="A838" s="2"/>
    </row>
    <row r="839" ht="15.75" customHeight="1">
      <c r="A839" s="2"/>
    </row>
    <row r="840" ht="15.75" customHeight="1">
      <c r="A840" s="2"/>
    </row>
    <row r="841" ht="15.75" customHeight="1">
      <c r="A841" s="2"/>
    </row>
    <row r="842" ht="15.75" customHeight="1">
      <c r="A842" s="2"/>
    </row>
    <row r="843" ht="15.75" customHeight="1">
      <c r="A843" s="2"/>
    </row>
    <row r="844" ht="15.75" customHeight="1">
      <c r="A844" s="2"/>
    </row>
    <row r="845" ht="15.75" customHeight="1">
      <c r="A845" s="2"/>
    </row>
    <row r="846" ht="15.75" customHeight="1">
      <c r="A846" s="2"/>
    </row>
    <row r="847" ht="15.75" customHeight="1">
      <c r="A847" s="2"/>
    </row>
    <row r="848" ht="15.75" customHeight="1">
      <c r="A848" s="2"/>
    </row>
    <row r="849" ht="15.75" customHeight="1">
      <c r="A849" s="2"/>
    </row>
    <row r="850" ht="15.75" customHeight="1">
      <c r="A850" s="2"/>
    </row>
    <row r="851" ht="15.75" customHeight="1">
      <c r="A851" s="2"/>
    </row>
    <row r="852" ht="15.75" customHeight="1">
      <c r="A852" s="2"/>
    </row>
    <row r="853" ht="15.75" customHeight="1">
      <c r="A853" s="2"/>
    </row>
    <row r="854" ht="15.75" customHeight="1">
      <c r="A854" s="2"/>
    </row>
    <row r="855" ht="15.75" customHeight="1">
      <c r="A855" s="2"/>
    </row>
    <row r="856" ht="15.75" customHeight="1">
      <c r="A856" s="2"/>
    </row>
    <row r="857" ht="15.75" customHeight="1">
      <c r="A857" s="2"/>
    </row>
    <row r="858" ht="15.75" customHeight="1">
      <c r="A858" s="2"/>
    </row>
    <row r="859" ht="15.75" customHeight="1">
      <c r="A859" s="2"/>
    </row>
    <row r="860" ht="15.75" customHeight="1">
      <c r="A860" s="2"/>
    </row>
    <row r="861" ht="15.75" customHeight="1">
      <c r="A861" s="2"/>
    </row>
    <row r="862" ht="15.75" customHeight="1">
      <c r="A862" s="2"/>
    </row>
    <row r="863" ht="15.75" customHeight="1">
      <c r="A863" s="2"/>
    </row>
    <row r="864" ht="15.75" customHeight="1">
      <c r="A864" s="2"/>
    </row>
    <row r="865" ht="15.75" customHeight="1">
      <c r="A865" s="2"/>
    </row>
    <row r="866" ht="15.75" customHeight="1">
      <c r="A866" s="2"/>
    </row>
    <row r="867" ht="15.75" customHeight="1">
      <c r="A867" s="2"/>
    </row>
    <row r="868" ht="15.75" customHeight="1">
      <c r="A868" s="2"/>
    </row>
    <row r="869" ht="15.75" customHeight="1">
      <c r="A869" s="2"/>
    </row>
    <row r="870" ht="15.75" customHeight="1">
      <c r="A870" s="2"/>
    </row>
    <row r="871" ht="15.75" customHeight="1">
      <c r="A871" s="2"/>
    </row>
    <row r="872" ht="15.75" customHeight="1">
      <c r="A872" s="2"/>
    </row>
    <row r="873" ht="15.75" customHeight="1">
      <c r="A873" s="2"/>
    </row>
    <row r="874" ht="15.75" customHeight="1">
      <c r="A874" s="2"/>
    </row>
    <row r="875" ht="15.75" customHeight="1">
      <c r="A875" s="2"/>
    </row>
    <row r="876" ht="15.75" customHeight="1">
      <c r="A876" s="2"/>
    </row>
    <row r="877" ht="15.75" customHeight="1">
      <c r="A877" s="2"/>
    </row>
    <row r="878" ht="15.75" customHeight="1">
      <c r="A878" s="2"/>
    </row>
    <row r="879" ht="15.75" customHeight="1">
      <c r="A879" s="2"/>
    </row>
    <row r="880" ht="15.75" customHeight="1">
      <c r="A880" s="2"/>
    </row>
    <row r="881" ht="15.75" customHeight="1">
      <c r="A881" s="2"/>
    </row>
    <row r="882" ht="15.75" customHeight="1">
      <c r="A882" s="2"/>
    </row>
    <row r="883" ht="15.75" customHeight="1">
      <c r="A883" s="2"/>
    </row>
    <row r="884" ht="15.75" customHeight="1">
      <c r="A884" s="2"/>
    </row>
    <row r="885" ht="15.75" customHeight="1">
      <c r="A885" s="2"/>
    </row>
    <row r="886" ht="15.75" customHeight="1">
      <c r="A886" s="2"/>
    </row>
    <row r="887" ht="15.75" customHeight="1">
      <c r="A887" s="2"/>
    </row>
    <row r="888" ht="15.75" customHeight="1">
      <c r="A888" s="2"/>
    </row>
    <row r="889" ht="15.75" customHeight="1">
      <c r="A889" s="2"/>
    </row>
    <row r="890" ht="15.75" customHeight="1">
      <c r="A890" s="2"/>
    </row>
    <row r="891" ht="15.75" customHeight="1">
      <c r="A891" s="2"/>
    </row>
    <row r="892" ht="15.75" customHeight="1">
      <c r="A892" s="2"/>
    </row>
    <row r="893" ht="15.75" customHeight="1">
      <c r="A893" s="2"/>
    </row>
    <row r="894" ht="15.75" customHeight="1">
      <c r="A894" s="2"/>
    </row>
    <row r="895" ht="15.75" customHeight="1">
      <c r="A895" s="2"/>
    </row>
    <row r="896" ht="15.75" customHeight="1">
      <c r="A896" s="2"/>
    </row>
    <row r="897" ht="15.75" customHeight="1">
      <c r="A897" s="2"/>
    </row>
    <row r="898" ht="15.75" customHeight="1">
      <c r="A898" s="2"/>
    </row>
    <row r="899" ht="15.75" customHeight="1">
      <c r="A899" s="2"/>
    </row>
    <row r="900" ht="15.75" customHeight="1">
      <c r="A900" s="2"/>
    </row>
    <row r="901" ht="15.75" customHeight="1">
      <c r="A901" s="2"/>
    </row>
    <row r="902" ht="15.75" customHeight="1">
      <c r="A902" s="2"/>
    </row>
    <row r="903" ht="15.75" customHeight="1">
      <c r="A903" s="2"/>
    </row>
    <row r="904" ht="15.75" customHeight="1">
      <c r="A904" s="2"/>
    </row>
    <row r="905" ht="15.75" customHeight="1">
      <c r="A905" s="2"/>
    </row>
    <row r="906" ht="15.75" customHeight="1">
      <c r="A906" s="2"/>
    </row>
    <row r="907" ht="15.75" customHeight="1">
      <c r="A907" s="2"/>
    </row>
    <row r="908" ht="15.75" customHeight="1">
      <c r="A908" s="2"/>
    </row>
    <row r="909" ht="15.75" customHeight="1">
      <c r="A909" s="2"/>
    </row>
    <row r="910" ht="15.75" customHeight="1">
      <c r="A910" s="2"/>
    </row>
    <row r="911" ht="15.75" customHeight="1">
      <c r="A911" s="2"/>
    </row>
    <row r="912" ht="15.75" customHeight="1">
      <c r="A912" s="2"/>
    </row>
    <row r="913" ht="15.75" customHeight="1">
      <c r="A913" s="2"/>
    </row>
    <row r="914" ht="15.75" customHeight="1">
      <c r="A914" s="2"/>
    </row>
    <row r="915" ht="15.75" customHeight="1">
      <c r="A915" s="2"/>
    </row>
    <row r="916" ht="15.75" customHeight="1">
      <c r="A916" s="2"/>
    </row>
    <row r="917" ht="15.75" customHeight="1">
      <c r="A917" s="2"/>
    </row>
    <row r="918" ht="15.75" customHeight="1">
      <c r="A918" s="2"/>
    </row>
    <row r="919" ht="15.75" customHeight="1">
      <c r="A919" s="2"/>
    </row>
    <row r="920" ht="15.75" customHeight="1">
      <c r="A920" s="2"/>
    </row>
    <row r="921" ht="15.75" customHeight="1">
      <c r="A921" s="2"/>
    </row>
    <row r="922" ht="15.75" customHeight="1">
      <c r="A922" s="2"/>
    </row>
    <row r="923" ht="15.75" customHeight="1">
      <c r="A923" s="2"/>
    </row>
    <row r="924" ht="15.75" customHeight="1">
      <c r="A924" s="2"/>
    </row>
    <row r="925" ht="15.75" customHeight="1">
      <c r="A925" s="2"/>
    </row>
    <row r="926" ht="15.75" customHeight="1">
      <c r="A926" s="2"/>
    </row>
    <row r="927" ht="15.75" customHeight="1">
      <c r="A927" s="2"/>
    </row>
    <row r="928" ht="15.75" customHeight="1">
      <c r="A928" s="2"/>
    </row>
    <row r="929" ht="15.75" customHeight="1">
      <c r="A929" s="2"/>
    </row>
    <row r="930" ht="15.75" customHeight="1">
      <c r="A930" s="2"/>
    </row>
    <row r="931" ht="15.75" customHeight="1">
      <c r="A931" s="2"/>
    </row>
    <row r="932" ht="15.75" customHeight="1">
      <c r="A932" s="2"/>
    </row>
    <row r="933" ht="15.75" customHeight="1">
      <c r="A933" s="2"/>
    </row>
    <row r="934" ht="15.75" customHeight="1">
      <c r="A934" s="2"/>
    </row>
    <row r="935" ht="15.75" customHeight="1">
      <c r="A935" s="2"/>
    </row>
    <row r="936" ht="15.75" customHeight="1">
      <c r="A936" s="2"/>
    </row>
    <row r="937" ht="15.75" customHeight="1">
      <c r="A937" s="2"/>
    </row>
    <row r="938" ht="15.75" customHeight="1">
      <c r="A938" s="2"/>
    </row>
    <row r="939" ht="15.75" customHeight="1">
      <c r="A939" s="2"/>
    </row>
    <row r="940" ht="15.75" customHeight="1">
      <c r="A940" s="2"/>
    </row>
    <row r="941" ht="15.75" customHeight="1">
      <c r="A941" s="2"/>
    </row>
    <row r="942" ht="15.75" customHeight="1">
      <c r="A942" s="2"/>
    </row>
    <row r="943" ht="15.75" customHeight="1">
      <c r="A943" s="2"/>
    </row>
    <row r="944" ht="15.75" customHeight="1">
      <c r="A944" s="2"/>
    </row>
    <row r="945" ht="15.75" customHeight="1">
      <c r="A945" s="2"/>
    </row>
    <row r="946" ht="15.75" customHeight="1">
      <c r="A946" s="2"/>
    </row>
    <row r="947" ht="15.75" customHeight="1">
      <c r="A947" s="2"/>
    </row>
    <row r="948" ht="15.75" customHeight="1">
      <c r="A948" s="2"/>
    </row>
    <row r="949" ht="15.75" customHeight="1">
      <c r="A949" s="2"/>
    </row>
    <row r="950" ht="15.75" customHeight="1">
      <c r="A950" s="2"/>
    </row>
    <row r="951" ht="15.75" customHeight="1">
      <c r="A951" s="2"/>
    </row>
    <row r="952" ht="15.75" customHeight="1">
      <c r="A952" s="2"/>
    </row>
    <row r="953" ht="15.75" customHeight="1">
      <c r="A953" s="2"/>
    </row>
    <row r="954" ht="15.75" customHeight="1">
      <c r="A954" s="2"/>
    </row>
    <row r="955" ht="15.75" customHeight="1">
      <c r="A955" s="2"/>
    </row>
    <row r="956" ht="15.75" customHeight="1">
      <c r="A956" s="2"/>
    </row>
    <row r="957" ht="15.75" customHeight="1">
      <c r="A957" s="2"/>
    </row>
    <row r="958" ht="15.75" customHeight="1">
      <c r="A958" s="2"/>
    </row>
    <row r="959" ht="15.75" customHeight="1">
      <c r="A959" s="2"/>
    </row>
    <row r="960" ht="15.75" customHeight="1">
      <c r="A960" s="2"/>
    </row>
    <row r="961" ht="15.75" customHeight="1">
      <c r="A961" s="2"/>
    </row>
    <row r="962" ht="15.75" customHeight="1">
      <c r="A962" s="2"/>
    </row>
    <row r="963" ht="15.75" customHeight="1">
      <c r="A963" s="2"/>
    </row>
    <row r="964" ht="15.75" customHeight="1">
      <c r="A964" s="2"/>
    </row>
    <row r="965" ht="15.75" customHeight="1">
      <c r="A965" s="2"/>
    </row>
    <row r="966" ht="15.75" customHeight="1">
      <c r="A966" s="2"/>
    </row>
    <row r="967" ht="15.75" customHeight="1">
      <c r="A967" s="2"/>
    </row>
    <row r="968" ht="15.75" customHeight="1">
      <c r="A968" s="2"/>
    </row>
    <row r="969" ht="15.75" customHeight="1">
      <c r="A969" s="2"/>
    </row>
    <row r="970" ht="15.75" customHeight="1">
      <c r="A970" s="2"/>
    </row>
    <row r="971" ht="15.75" customHeight="1">
      <c r="A971" s="2"/>
    </row>
    <row r="972" ht="15.75" customHeight="1">
      <c r="A972" s="2"/>
    </row>
    <row r="973" ht="15.75" customHeight="1">
      <c r="A973" s="2"/>
    </row>
    <row r="974" ht="15.75" customHeight="1">
      <c r="A974" s="2"/>
    </row>
    <row r="975" ht="15.75" customHeight="1">
      <c r="A975" s="2"/>
    </row>
    <row r="976" ht="15.75" customHeight="1">
      <c r="A976" s="2"/>
    </row>
    <row r="977" ht="15.75" customHeight="1">
      <c r="A977" s="2"/>
    </row>
    <row r="978" ht="15.75" customHeight="1">
      <c r="A978" s="2"/>
    </row>
    <row r="979" ht="15.75" customHeight="1">
      <c r="A979" s="2"/>
    </row>
    <row r="980" ht="15.75" customHeight="1">
      <c r="A980" s="2"/>
    </row>
    <row r="981" ht="15.75" customHeight="1">
      <c r="A981" s="2"/>
    </row>
    <row r="982" ht="15.75" customHeight="1">
      <c r="A982" s="2"/>
    </row>
    <row r="983" ht="15.75" customHeight="1">
      <c r="A983" s="2"/>
    </row>
    <row r="984" ht="15.75" customHeight="1">
      <c r="A984" s="2"/>
    </row>
    <row r="985" ht="15.75" customHeight="1">
      <c r="A985" s="2"/>
    </row>
    <row r="986" ht="15.75" customHeight="1">
      <c r="A986" s="2"/>
    </row>
    <row r="987" ht="15.75" customHeight="1">
      <c r="A987" s="2"/>
    </row>
    <row r="988" ht="15.75" customHeight="1">
      <c r="A988" s="2"/>
    </row>
    <row r="989" ht="15.75" customHeight="1">
      <c r="A989" s="2"/>
    </row>
    <row r="990" ht="15.75" customHeight="1">
      <c r="A990" s="2"/>
    </row>
    <row r="991" ht="15.75" customHeight="1">
      <c r="A991" s="2"/>
    </row>
    <row r="992" ht="15.75" customHeight="1">
      <c r="A992" s="2"/>
    </row>
    <row r="993" ht="15.75" customHeight="1">
      <c r="A993" s="2"/>
    </row>
    <row r="994" ht="15.75" customHeight="1">
      <c r="A994" s="2"/>
    </row>
    <row r="995" ht="15.75" customHeight="1">
      <c r="A995" s="2"/>
    </row>
    <row r="996" ht="15.75" customHeight="1">
      <c r="A996" s="2"/>
    </row>
    <row r="997" ht="15.75" customHeight="1">
      <c r="A997" s="2"/>
    </row>
    <row r="998" ht="15.75" customHeight="1">
      <c r="A998" s="2"/>
    </row>
    <row r="999" ht="15.75" customHeight="1">
      <c r="A999" s="2"/>
    </row>
    <row r="1000" ht="15.75" customHeight="1">
      <c r="A1000" s="2"/>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c r="A1" s="1" t="s">
        <v>1141</v>
      </c>
      <c r="B1" s="1"/>
      <c r="C1" s="1"/>
      <c r="D1" s="1"/>
      <c r="E1" s="1"/>
      <c r="F1" s="1"/>
      <c r="G1" s="1"/>
      <c r="H1" s="1"/>
      <c r="I1" s="1"/>
      <c r="J1" s="1"/>
      <c r="K1" s="1"/>
      <c r="L1" s="1"/>
      <c r="M1" s="1"/>
      <c r="N1" s="1"/>
      <c r="O1" s="1"/>
      <c r="P1" s="1"/>
      <c r="Q1" s="1"/>
      <c r="R1" s="1"/>
      <c r="S1" s="1"/>
      <c r="T1" s="1"/>
      <c r="U1" s="1"/>
      <c r="V1" s="1"/>
      <c r="W1" s="1"/>
      <c r="X1" s="1"/>
      <c r="Y1" s="1"/>
      <c r="Z1" s="1"/>
    </row>
    <row r="2">
      <c r="A2" s="4" t="s">
        <v>1142</v>
      </c>
      <c r="B2" s="4" t="s">
        <v>1143</v>
      </c>
    </row>
    <row r="3">
      <c r="A3" s="4" t="s">
        <v>1144</v>
      </c>
      <c r="B3" s="4" t="s">
        <v>1145</v>
      </c>
    </row>
    <row r="4">
      <c r="A4" s="4" t="s">
        <v>1146</v>
      </c>
      <c r="B4" s="4" t="s">
        <v>1147</v>
      </c>
    </row>
    <row r="5">
      <c r="A5" s="4" t="s">
        <v>1148</v>
      </c>
      <c r="B5" s="4" t="s">
        <v>1149</v>
      </c>
    </row>
    <row r="6">
      <c r="A6" s="4" t="s">
        <v>1150</v>
      </c>
      <c r="B6" s="4" t="s">
        <v>1151</v>
      </c>
    </row>
    <row r="7">
      <c r="A7" s="4" t="s">
        <v>1152</v>
      </c>
      <c r="B7" s="4" t="s">
        <v>1153</v>
      </c>
    </row>
    <row r="8">
      <c r="A8" s="4" t="s">
        <v>1154</v>
      </c>
      <c r="B8" s="4" t="s">
        <v>1155</v>
      </c>
    </row>
    <row r="9">
      <c r="A9" s="4" t="s">
        <v>1156</v>
      </c>
      <c r="B9" s="4" t="s">
        <v>1157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